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P Triangle" sheetId="4" state="visible" r:id="rId4"/>
    <sheet xmlns:r="http://schemas.openxmlformats.org/officeDocument/2006/relationships" name="IP Ratios" sheetId="5" state="visible" r:id="rId5"/>
    <sheet xmlns:r="http://schemas.openxmlformats.org/officeDocument/2006/relationships" name="IP Factors" sheetId="6" state="visible" r:id="rId6"/>
    <sheet xmlns:r="http://schemas.openxmlformats.org/officeDocument/2006/relationships" name="IP Reserve" sheetId="7" state="visible" r:id="rId7"/>
    <sheet xmlns:r="http://schemas.openxmlformats.org/officeDocument/2006/relationships" name="OP Triangle" sheetId="8" state="visible" r:id="rId8"/>
    <sheet xmlns:r="http://schemas.openxmlformats.org/officeDocument/2006/relationships" name="OP Ratios" sheetId="9" state="visible" r:id="rId9"/>
    <sheet xmlns:r="http://schemas.openxmlformats.org/officeDocument/2006/relationships" name="OP Factors" sheetId="10" state="visible" r:id="rId10"/>
    <sheet xmlns:r="http://schemas.openxmlformats.org/officeDocument/2006/relationships" name="OP Reserve" sheetId="11" state="visible" r:id="rId11"/>
    <sheet xmlns:r="http://schemas.openxmlformats.org/officeDocument/2006/relationships" name="Prof Triangle" sheetId="12" state="visible" r:id="rId12"/>
    <sheet xmlns:r="http://schemas.openxmlformats.org/officeDocument/2006/relationships" name="Prof Ratios" sheetId="13" state="visible" r:id="rId13"/>
    <sheet xmlns:r="http://schemas.openxmlformats.org/officeDocument/2006/relationships" name="Prof Factors" sheetId="14" state="visible" r:id="rId14"/>
    <sheet xmlns:r="http://schemas.openxmlformats.org/officeDocument/2006/relationships" name="Prof Reserve" sheetId="15" state="visible" r:id="rId15"/>
    <sheet xmlns:r="http://schemas.openxmlformats.org/officeDocument/2006/relationships" name="LC Triangle" sheetId="16" state="visible" r:id="rId16"/>
    <sheet xmlns:r="http://schemas.openxmlformats.org/officeDocument/2006/relationships" name="LC Ratios" sheetId="17" state="visible" r:id="rId17"/>
    <sheet xmlns:r="http://schemas.openxmlformats.org/officeDocument/2006/relationships" name="LC Factors" sheetId="18" state="visible" r:id="rId18"/>
    <sheet xmlns:r="http://schemas.openxmlformats.org/officeDocument/2006/relationships" name="LC Reserv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</font>
    <font>
      <color rgb="001C5CAB"/>
    </font>
  </fonts>
  <fills count="5">
    <fill>
      <patternFill/>
    </fill>
    <fill>
      <patternFill patternType="gray125"/>
    </fill>
    <fill>
      <patternFill patternType="solid">
        <fgColor rgb="00256ABF"/>
      </patternFill>
    </fill>
    <fill>
      <patternFill patternType="solid">
        <fgColor rgb="00FFF2B3"/>
      </patternFill>
    </fill>
    <fill>
      <patternFill patternType="solid">
        <fgColor rgb="00E1E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0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Health IBNR model: 2026-09 valuation (live formulas)</t>
        </is>
      </c>
    </row>
    <row r="2">
      <c r="A2" t="inlineStr"/>
    </row>
    <row r="3">
      <c r="A3" s="2" t="inlineStr">
        <is>
          <t>How to use</t>
        </is>
      </c>
    </row>
    <row r="4">
      <c r="A4" t="inlineStr">
        <is>
          <t>1. Each category has Triangle (data), Ratios, Factors and Reserve sheets.</t>
        </is>
      </c>
    </row>
    <row r="5">
      <c r="A5" t="inlineStr">
        <is>
          <t>2. Type a link ratio into a yellow Override cell on a Factors sheet. Completion factors, ultimates, IBNR and the Summary recalculate.</t>
        </is>
      </c>
    </row>
    <row r="6">
      <c r="A6" t="inlineStr">
        <is>
          <t>3. Margin, CAE, the PMPM/B-F cut-off and backlog gross-up ratios are yellow cells on the Assumptions sheet.</t>
        </is>
      </c>
    </row>
    <row r="7">
      <c r="A7" t="inlineStr">
        <is>
          <t>4. Grey ratios on the Ratios sheets are excluded from the averages (see the Selections log in the exhibits workbook).</t>
        </is>
      </c>
    </row>
    <row r="8">
      <c r="A8" t="inlineStr">
        <is>
          <t>5. Expected PMPM (blue) comes from the Python trend fit: log-linear trend with calendar-month seasonality.</t>
        </is>
      </c>
    </row>
    <row r="9">
      <c r="A9" t="inlineStr"/>
    </row>
    <row r="10">
      <c r="A10" t="inlineStr">
        <is>
          <t>Colour key: blue font = data input; yellow fill = judgment input; black = formula; grey fill = excluded ratio.</t>
        </is>
      </c>
    </row>
    <row r="11">
      <c r="A11" t="inlineStr">
        <is>
          <t>Summary column 'Python engine' shows the model of record. 'Difference' should be zero until you change an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Category</t>
        </is>
      </c>
      <c r="B1" s="3" t="inlineStr">
        <is>
          <t>Paid to date</t>
        </is>
      </c>
      <c r="C1" s="3" t="inlineStr">
        <is>
          <t>IBNR</t>
        </is>
      </c>
      <c r="D1" s="3" t="inlineStr">
        <is>
          <t>Margin</t>
        </is>
      </c>
      <c r="E1" s="3" t="inlineStr">
        <is>
          <t>CAE</t>
        </is>
      </c>
      <c r="F1" s="3" t="inlineStr">
        <is>
          <t>Total liability</t>
        </is>
      </c>
      <c r="G1" s="3" t="inlineStr">
        <is>
          <t>Python engine IBNR</t>
        </is>
      </c>
      <c r="H1" s="3" t="inlineStr">
        <is>
          <t>Difference</t>
        </is>
      </c>
    </row>
    <row r="2">
      <c r="A2" t="inlineStr">
        <is>
          <t>Inpatient (ex. large)</t>
        </is>
      </c>
      <c r="B2" s="4">
        <f>'IP Reserve'!D47</f>
        <v/>
      </c>
      <c r="C2" s="4">
        <f>'IP Reserve'!L47</f>
        <v/>
      </c>
      <c r="D2" s="4">
        <f>C2*Assumptions!$B$4</f>
        <v/>
      </c>
      <c r="E2" s="4">
        <f>(C2+D2)*Assumptions!$B$5</f>
        <v/>
      </c>
      <c r="F2" s="4">
        <f>C2+D2+E2</f>
        <v/>
      </c>
      <c r="G2" s="5" t="n">
        <v>65138743.94</v>
      </c>
      <c r="H2" s="4">
        <f>C2-G2</f>
        <v/>
      </c>
    </row>
    <row r="3">
      <c r="A3" t="inlineStr">
        <is>
          <t>Outpatient</t>
        </is>
      </c>
      <c r="B3" s="4">
        <f>'OP Reserve'!D47</f>
        <v/>
      </c>
      <c r="C3" s="4">
        <f>'OP Reserve'!L47</f>
        <v/>
      </c>
      <c r="D3" s="4">
        <f>C3*Assumptions!$B$4</f>
        <v/>
      </c>
      <c r="E3" s="4">
        <f>(C3+D3)*Assumptions!$B$5</f>
        <v/>
      </c>
      <c r="F3" s="4">
        <f>C3+D3+E3</f>
        <v/>
      </c>
      <c r="G3" s="5" t="n">
        <v>71888260.31</v>
      </c>
      <c r="H3" s="4">
        <f>C3-G3</f>
        <v/>
      </c>
    </row>
    <row r="4">
      <c r="A4" t="inlineStr">
        <is>
          <t>Professional</t>
        </is>
      </c>
      <c r="B4" s="4">
        <f>'Prof Reserve'!D47</f>
        <v/>
      </c>
      <c r="C4" s="4">
        <f>'Prof Reserve'!L47</f>
        <v/>
      </c>
      <c r="D4" s="4">
        <f>C4*Assumptions!$B$4</f>
        <v/>
      </c>
      <c r="E4" s="4">
        <f>(C4+D4)*Assumptions!$B$5</f>
        <v/>
      </c>
      <c r="F4" s="4">
        <f>C4+D4+E4</f>
        <v/>
      </c>
      <c r="G4" s="5" t="n">
        <v>45653039.05</v>
      </c>
      <c r="H4" s="4">
        <f>C4-G4</f>
        <v/>
      </c>
    </row>
    <row r="5">
      <c r="A5" t="inlineStr">
        <is>
          <t>Large claims (&gt;$250k)</t>
        </is>
      </c>
      <c r="B5" s="4">
        <f>'LC Reserve'!D47</f>
        <v/>
      </c>
      <c r="C5" s="4">
        <f>'LC Reserve'!L47</f>
        <v/>
      </c>
      <c r="D5" s="4">
        <f>C5*Assumptions!$B$4</f>
        <v/>
      </c>
      <c r="E5" s="4">
        <f>(C5+D5)*Assumptions!$B$5</f>
        <v/>
      </c>
      <c r="F5" s="4">
        <f>C5+D5+E5</f>
        <v/>
      </c>
      <c r="G5" s="5" t="n">
        <v>43566757.72</v>
      </c>
      <c r="H5" s="4">
        <f>C5-G5</f>
        <v/>
      </c>
    </row>
    <row r="6">
      <c r="A6" s="6" t="inlineStr">
        <is>
          <t>Total</t>
        </is>
      </c>
      <c r="B6" s="7">
        <f>SUM(B2:B5)</f>
        <v/>
      </c>
      <c r="C6" s="7">
        <f>SUM(C2:C5)</f>
        <v/>
      </c>
      <c r="D6" s="7">
        <f>SUM(D2:D5)</f>
        <v/>
      </c>
      <c r="E6" s="7">
        <f>SUM(E2:E5)</f>
        <v/>
      </c>
      <c r="F6" s="7">
        <f>SUM(F2:F5)</f>
        <v/>
      </c>
      <c r="G6" s="7">
        <f>SUM(G2:G5)</f>
        <v/>
      </c>
      <c r="H6" s="7">
        <f>SUM(H2:H5)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70" customWidth="1" min="3" max="3"/>
  </cols>
  <sheetData>
    <row r="1">
      <c r="A1" s="3" t="inlineStr">
        <is>
          <t>Assumption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Valuation month</t>
        </is>
      </c>
      <c r="B2" s="8" t="inlineStr">
        <is>
          <t>2026-09</t>
        </is>
      </c>
      <c r="C2" t="inlineStr">
        <is>
          <t>Paid-through month</t>
        </is>
      </c>
    </row>
    <row r="3">
      <c r="A3" t="inlineStr">
        <is>
          <t>PMPM / B-F months</t>
        </is>
      </c>
      <c r="B3" s="8" t="n">
        <v>3</v>
      </c>
      <c r="C3" t="inlineStr">
        <is>
          <t>Incurred months younger than this lag use B-F on the PMPM expected</t>
        </is>
      </c>
    </row>
    <row r="4">
      <c r="A4" t="inlineStr">
        <is>
          <t>Margin %</t>
        </is>
      </c>
      <c r="B4" s="9" t="n">
        <v>0.075</v>
      </c>
      <c r="C4" t="inlineStr">
        <is>
          <t>Provision for adverse deviation on IBNR</t>
        </is>
      </c>
    </row>
    <row r="5">
      <c r="A5" t="inlineStr">
        <is>
          <t>CAE %</t>
        </is>
      </c>
      <c r="B5" s="9" t="n">
        <v>0.025</v>
      </c>
      <c r="C5" t="inlineStr">
        <is>
          <t>Claim adjustment expense on IBNR + margin</t>
        </is>
      </c>
    </row>
    <row r="6">
      <c r="A6" t="inlineStr">
        <is>
          <t>Backlog gross-up ratio: IP</t>
        </is>
      </c>
      <c r="B6" s="8" t="n">
        <v>1</v>
      </c>
      <c r="C6" t="inlineStr">
        <is>
          <t>Paid in valuation month / (paid + excess pended). 1.0 = no backlog</t>
        </is>
      </c>
    </row>
    <row r="7">
      <c r="A7" t="inlineStr">
        <is>
          <t>Backlog gross-up ratio: OP</t>
        </is>
      </c>
      <c r="B7" s="8" t="n">
        <v>1</v>
      </c>
      <c r="C7" t="inlineStr">
        <is>
          <t>Paid in valuation month / (paid + excess pended). 1.0 = no backlog</t>
        </is>
      </c>
    </row>
    <row r="8">
      <c r="A8" t="inlineStr">
        <is>
          <t>Backlog gross-up ratio: Prof</t>
        </is>
      </c>
      <c r="B8" s="8" t="n">
        <v>1</v>
      </c>
      <c r="C8" t="inlineStr">
        <is>
          <t>Paid in valuation month / (paid + excess pended). 1.0 = no backlog</t>
        </is>
      </c>
    </row>
    <row r="9">
      <c r="A9" t="inlineStr">
        <is>
          <t>Backlog gross-up ratio: LC</t>
        </is>
      </c>
      <c r="B9" s="8" t="n">
        <v>1</v>
      </c>
      <c r="C9" t="inlineStr">
        <is>
          <t>Paid in valuation month / (paid + excess pended). 1.0 = no backlog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>
      <c r="A1" s="3" t="inlineStr">
        <is>
          <t>Incurred</t>
        </is>
      </c>
      <c r="B1" s="3" t="inlineStr">
        <is>
          <t>Lag 0</t>
        </is>
      </c>
      <c r="C1" s="3" t="inlineStr">
        <is>
          <t>Lag 1</t>
        </is>
      </c>
      <c r="D1" s="3" t="inlineStr">
        <is>
          <t>Lag 2</t>
        </is>
      </c>
      <c r="E1" s="3" t="inlineStr">
        <is>
          <t>Lag 3</t>
        </is>
      </c>
      <c r="F1" s="3" t="inlineStr">
        <is>
          <t>Lag 4</t>
        </is>
      </c>
      <c r="G1" s="3" t="inlineStr">
        <is>
          <t>Lag 5</t>
        </is>
      </c>
      <c r="H1" s="3" t="inlineStr">
        <is>
          <t>Lag 6</t>
        </is>
      </c>
      <c r="I1" s="3" t="inlineStr">
        <is>
          <t>Lag 7</t>
        </is>
      </c>
      <c r="J1" s="3" t="inlineStr">
        <is>
          <t>Lag 8</t>
        </is>
      </c>
      <c r="K1" s="3" t="inlineStr">
        <is>
          <t>Lag 9</t>
        </is>
      </c>
      <c r="L1" s="3" t="inlineStr">
        <is>
          <t>Lag 10</t>
        </is>
      </c>
      <c r="M1" s="3" t="inlineStr">
        <is>
          <t>Lag 11</t>
        </is>
      </c>
      <c r="N1" s="3" t="inlineStr">
        <is>
          <t>Lag 12</t>
        </is>
      </c>
      <c r="O1" s="3" t="inlineStr">
        <is>
          <t>Lag 13</t>
        </is>
      </c>
      <c r="P1" s="3" t="inlineStr">
        <is>
          <t>Lag 14</t>
        </is>
      </c>
      <c r="Q1" s="3" t="inlineStr">
        <is>
          <t>Lag 15</t>
        </is>
      </c>
      <c r="R1" s="3" t="inlineStr">
        <is>
          <t>Lag 16</t>
        </is>
      </c>
      <c r="S1" s="3" t="inlineStr">
        <is>
          <t>Lag 17</t>
        </is>
      </c>
      <c r="T1" s="3" t="inlineStr">
        <is>
          <t>Lag 18</t>
        </is>
      </c>
      <c r="U1" s="3" t="inlineStr">
        <is>
          <t>Lag 19</t>
        </is>
      </c>
      <c r="V1" s="3" t="inlineStr">
        <is>
          <t>Lag 20</t>
        </is>
      </c>
      <c r="W1" s="3" t="inlineStr">
        <is>
          <t>Lag 21</t>
        </is>
      </c>
      <c r="X1" s="3" t="inlineStr">
        <is>
          <t>Lag 22</t>
        </is>
      </c>
      <c r="Y1" s="3" t="inlineStr">
        <is>
          <t>Lag 23</t>
        </is>
      </c>
      <c r="Z1" s="3" t="inlineStr">
        <is>
          <t>Lag 24</t>
        </is>
      </c>
      <c r="AA1" s="3" t="inlineStr">
        <is>
          <t>Lag 25</t>
        </is>
      </c>
      <c r="AB1" s="3" t="inlineStr">
        <is>
          <t>Lag 26</t>
        </is>
      </c>
      <c r="AC1" s="3" t="inlineStr">
        <is>
          <t>Lag 27</t>
        </is>
      </c>
      <c r="AD1" s="3" t="inlineStr">
        <is>
          <t>Lag 28</t>
        </is>
      </c>
      <c r="AE1" s="3" t="inlineStr">
        <is>
          <t>Lag 29</t>
        </is>
      </c>
      <c r="AF1" s="3" t="inlineStr">
        <is>
          <t>Lag 30</t>
        </is>
      </c>
      <c r="AG1" s="3" t="inlineStr">
        <is>
          <t>Lag 31</t>
        </is>
      </c>
      <c r="AH1" s="3" t="inlineStr">
        <is>
          <t>Lag 32</t>
        </is>
      </c>
      <c r="AI1" s="3" t="inlineStr">
        <is>
          <t>Lag 33</t>
        </is>
      </c>
      <c r="AJ1" s="3" t="inlineStr">
        <is>
          <t>Lag 34</t>
        </is>
      </c>
      <c r="AK1" s="3" t="inlineStr">
        <is>
          <t>Lag 35</t>
        </is>
      </c>
      <c r="AL1" s="3" t="inlineStr">
        <is>
          <t>Lag 36</t>
        </is>
      </c>
      <c r="AM1" s="3" t="inlineStr">
        <is>
          <t>Lag 37</t>
        </is>
      </c>
      <c r="AN1" s="3" t="inlineStr">
        <is>
          <t>Lag 38</t>
        </is>
      </c>
      <c r="AO1" s="3" t="inlineStr">
        <is>
          <t>Lag 39</t>
        </is>
      </c>
      <c r="AP1" s="3" t="inlineStr">
        <is>
          <t>Lag 40</t>
        </is>
      </c>
      <c r="AQ1" s="3" t="inlineStr">
        <is>
          <t>Lag 41</t>
        </is>
      </c>
      <c r="AR1" s="3" t="inlineStr">
        <is>
          <t>Lag 42</t>
        </is>
      </c>
      <c r="AS1" s="3" t="inlineStr">
        <is>
          <t>Lag 43</t>
        </is>
      </c>
      <c r="AT1" s="3" t="inlineStr">
        <is>
          <t>Lag 44</t>
        </is>
      </c>
    </row>
    <row r="2">
      <c r="A2" s="6" t="inlineStr">
        <is>
          <t>2023-01</t>
        </is>
      </c>
      <c r="B2" s="5" t="n">
        <v>2223686.79</v>
      </c>
      <c r="C2" s="5" t="n">
        <v>5991719.18</v>
      </c>
      <c r="D2" s="5" t="n">
        <v>9146020.369999999</v>
      </c>
      <c r="E2" s="5" t="n">
        <v>11433879.05</v>
      </c>
      <c r="F2" s="5" t="n">
        <v>13078775.79</v>
      </c>
      <c r="G2" s="5" t="n">
        <v>14116373.54</v>
      </c>
      <c r="H2" s="5" t="n">
        <v>14882654.36</v>
      </c>
      <c r="I2" s="5" t="n">
        <v>15365671.71</v>
      </c>
      <c r="J2" s="5" t="n">
        <v>15680081.37</v>
      </c>
      <c r="K2" s="5" t="n">
        <v>15909958.26</v>
      </c>
      <c r="L2" s="5" t="n">
        <v>16066729.42</v>
      </c>
      <c r="M2" s="5" t="n">
        <v>16163139.86</v>
      </c>
      <c r="N2" s="5" t="n">
        <v>16225892.08</v>
      </c>
      <c r="O2" s="5" t="n">
        <v>16265584.53</v>
      </c>
      <c r="P2" s="5" t="n">
        <v>16293208.85</v>
      </c>
      <c r="Q2" s="5" t="n">
        <v>16311611.83</v>
      </c>
      <c r="R2" s="5" t="n">
        <v>16322832.75</v>
      </c>
      <c r="S2" s="5" t="n">
        <v>16330219.78</v>
      </c>
      <c r="T2" s="5" t="n">
        <v>16335165.57</v>
      </c>
      <c r="U2" s="5" t="n">
        <v>16338308.78</v>
      </c>
      <c r="V2" s="5" t="n">
        <v>16340339.07</v>
      </c>
      <c r="W2" s="5" t="n">
        <v>16341645.12</v>
      </c>
      <c r="X2" s="5" t="n">
        <v>16342513.14</v>
      </c>
      <c r="Y2" s="5" t="n">
        <v>16343082.1</v>
      </c>
      <c r="Z2" s="5" t="n">
        <v>16343449.99</v>
      </c>
      <c r="AA2" s="5" t="n">
        <v>16343677.16</v>
      </c>
      <c r="AB2" s="5" t="n">
        <v>16343837.44</v>
      </c>
      <c r="AC2" s="5" t="n">
        <v>16343938.01</v>
      </c>
      <c r="AD2" s="5" t="n">
        <v>16344000.89</v>
      </c>
      <c r="AE2" s="5" t="n">
        <v>16344041.33</v>
      </c>
      <c r="AF2" s="5" t="n">
        <v>16344068.7</v>
      </c>
      <c r="AG2" s="5" t="n">
        <v>16344085.88</v>
      </c>
      <c r="AH2" s="5" t="n">
        <v>16344097.77</v>
      </c>
      <c r="AI2" s="5" t="n">
        <v>16344104.94</v>
      </c>
      <c r="AJ2" s="5" t="n">
        <v>16344109.79</v>
      </c>
      <c r="AK2" s="5" t="n">
        <v>16344112.74</v>
      </c>
      <c r="AL2" s="5" t="n">
        <v>16344114.64</v>
      </c>
      <c r="AM2" s="5" t="n">
        <v>16344114.64</v>
      </c>
      <c r="AN2" s="5" t="n">
        <v>16344114.64</v>
      </c>
      <c r="AO2" s="5" t="n">
        <v>16344114.64</v>
      </c>
      <c r="AP2" s="5" t="n">
        <v>16344114.64</v>
      </c>
      <c r="AQ2" s="5" t="n">
        <v>16344114.64</v>
      </c>
      <c r="AR2" s="5" t="n">
        <v>16344114.64</v>
      </c>
      <c r="AS2" s="5" t="n">
        <v>16344114.64</v>
      </c>
      <c r="AT2" s="5" t="n">
        <v>16344114.64</v>
      </c>
    </row>
    <row r="3">
      <c r="A3" s="6" t="inlineStr">
        <is>
          <t>2023-02</t>
        </is>
      </c>
      <c r="B3" s="5" t="n">
        <v>2294770.33</v>
      </c>
      <c r="C3" s="5" t="n">
        <v>6313241.09</v>
      </c>
      <c r="D3" s="5" t="n">
        <v>9617771.720000001</v>
      </c>
      <c r="E3" s="5" t="n">
        <v>11964280.51</v>
      </c>
      <c r="F3" s="5" t="n">
        <v>13599746.4</v>
      </c>
      <c r="G3" s="5" t="n">
        <v>14666614.62</v>
      </c>
      <c r="H3" s="5" t="n">
        <v>15428320.63</v>
      </c>
      <c r="I3" s="5" t="n">
        <v>15941453.38</v>
      </c>
      <c r="J3" s="5" t="n">
        <v>16277439.98</v>
      </c>
      <c r="K3" s="5" t="n">
        <v>16485326.06</v>
      </c>
      <c r="L3" s="5" t="n">
        <v>16623271.73</v>
      </c>
      <c r="M3" s="5" t="n">
        <v>16724738.01</v>
      </c>
      <c r="N3" s="5" t="n">
        <v>16789299.05</v>
      </c>
      <c r="O3" s="5" t="n">
        <v>16829593.36</v>
      </c>
      <c r="P3" s="5" t="n">
        <v>16854904.26</v>
      </c>
      <c r="Q3" s="5" t="n">
        <v>16872264.46</v>
      </c>
      <c r="R3" s="5" t="n">
        <v>16884021.03</v>
      </c>
      <c r="S3" s="5" t="n">
        <v>16891618.99</v>
      </c>
      <c r="T3" s="5" t="n">
        <v>16896558.93</v>
      </c>
      <c r="U3" s="5" t="n">
        <v>16899797.21</v>
      </c>
      <c r="V3" s="5" t="n">
        <v>16901892.04</v>
      </c>
      <c r="W3" s="5" t="n">
        <v>16903235.88</v>
      </c>
      <c r="X3" s="5" t="n">
        <v>16904143.88</v>
      </c>
      <c r="Y3" s="5" t="n">
        <v>16904695.39</v>
      </c>
      <c r="Z3" s="5" t="n">
        <v>16905043.41</v>
      </c>
      <c r="AA3" s="5" t="n">
        <v>16905266.53</v>
      </c>
      <c r="AB3" s="5" t="n">
        <v>16905418.9</v>
      </c>
      <c r="AC3" s="5" t="n">
        <v>16905515.01</v>
      </c>
      <c r="AD3" s="5" t="n">
        <v>16905579.87</v>
      </c>
      <c r="AE3" s="5" t="n">
        <v>16905620.51</v>
      </c>
      <c r="AF3" s="5" t="n">
        <v>16905645.56</v>
      </c>
      <c r="AG3" s="5" t="n">
        <v>16905662.45</v>
      </c>
      <c r="AH3" s="5" t="n">
        <v>16905673.9</v>
      </c>
      <c r="AI3" s="5" t="n">
        <v>16905680.81</v>
      </c>
      <c r="AJ3" s="5" t="n">
        <v>16905685.42</v>
      </c>
      <c r="AK3" s="5" t="n">
        <v>16905688.29</v>
      </c>
      <c r="AL3" s="5" t="n">
        <v>16905690.24</v>
      </c>
      <c r="AM3" s="5" t="n">
        <v>16905690.24</v>
      </c>
      <c r="AN3" s="5" t="n">
        <v>16905690.24</v>
      </c>
      <c r="AO3" s="5" t="n">
        <v>16905690.24</v>
      </c>
      <c r="AP3" s="5" t="n">
        <v>16905690.24</v>
      </c>
      <c r="AQ3" s="5" t="n">
        <v>16905690.24</v>
      </c>
      <c r="AR3" s="5" t="n">
        <v>16905690.24</v>
      </c>
      <c r="AS3" s="5" t="n">
        <v>16905690.24</v>
      </c>
    </row>
    <row r="4">
      <c r="A4" s="6" t="inlineStr">
        <is>
          <t>2023-03</t>
        </is>
      </c>
      <c r="B4" s="5" t="n">
        <v>2368953.49</v>
      </c>
      <c r="C4" s="5" t="n">
        <v>6658129.46</v>
      </c>
      <c r="D4" s="5" t="n">
        <v>9946001.68</v>
      </c>
      <c r="E4" s="5" t="n">
        <v>12324762.5</v>
      </c>
      <c r="F4" s="5" t="n">
        <v>14083625.59</v>
      </c>
      <c r="G4" s="5" t="n">
        <v>15138009.18</v>
      </c>
      <c r="H4" s="5" t="n">
        <v>15908506.42</v>
      </c>
      <c r="I4" s="5" t="n">
        <v>16432138.18</v>
      </c>
      <c r="J4" s="5" t="n">
        <v>16782346.44</v>
      </c>
      <c r="K4" s="5" t="n">
        <v>17015599.01</v>
      </c>
      <c r="L4" s="5" t="n">
        <v>17169823.32</v>
      </c>
      <c r="M4" s="5" t="n">
        <v>17269909.65</v>
      </c>
      <c r="N4" s="5" t="n">
        <v>17334685.02</v>
      </c>
      <c r="O4" s="5" t="n">
        <v>17377832.88</v>
      </c>
      <c r="P4" s="5" t="n">
        <v>17407384.85</v>
      </c>
      <c r="Q4" s="5" t="n">
        <v>17426039.31</v>
      </c>
      <c r="R4" s="5" t="n">
        <v>17438342.31</v>
      </c>
      <c r="S4" s="5" t="n">
        <v>17445760.28</v>
      </c>
      <c r="T4" s="5" t="n">
        <v>17450587.45</v>
      </c>
      <c r="U4" s="5" t="n">
        <v>17453859.03</v>
      </c>
      <c r="V4" s="5" t="n">
        <v>17456012.11</v>
      </c>
      <c r="W4" s="5" t="n">
        <v>17457428.7</v>
      </c>
      <c r="X4" s="5" t="n">
        <v>17458357.95</v>
      </c>
      <c r="Y4" s="5" t="n">
        <v>17458912.55</v>
      </c>
      <c r="Z4" s="5" t="n">
        <v>17459277.38</v>
      </c>
      <c r="AA4" s="5" t="n">
        <v>17459513.67</v>
      </c>
      <c r="AB4" s="5" t="n">
        <v>17459664.62</v>
      </c>
      <c r="AC4" s="5" t="n">
        <v>17459764.36</v>
      </c>
      <c r="AD4" s="5" t="n">
        <v>17459828.44</v>
      </c>
      <c r="AE4" s="5" t="n">
        <v>17459871.38</v>
      </c>
      <c r="AF4" s="5" t="n">
        <v>17459898.69</v>
      </c>
      <c r="AG4" s="5" t="n">
        <v>17459915.83</v>
      </c>
      <c r="AH4" s="5" t="n">
        <v>17459927.1</v>
      </c>
      <c r="AI4" s="5" t="n">
        <v>17459934.51</v>
      </c>
      <c r="AJ4" s="5" t="n">
        <v>17459939.15</v>
      </c>
      <c r="AK4" s="5" t="n">
        <v>17459942.22</v>
      </c>
      <c r="AL4" s="5" t="n">
        <v>17459944.2</v>
      </c>
      <c r="AM4" s="5" t="n">
        <v>17459944.2</v>
      </c>
      <c r="AN4" s="5" t="n">
        <v>17459944.2</v>
      </c>
      <c r="AO4" s="5" t="n">
        <v>17459944.2</v>
      </c>
      <c r="AP4" s="5" t="n">
        <v>17459944.2</v>
      </c>
      <c r="AQ4" s="5" t="n">
        <v>17459944.2</v>
      </c>
      <c r="AR4" s="5" t="n">
        <v>17459944.2</v>
      </c>
    </row>
    <row r="5">
      <c r="A5" s="6" t="inlineStr">
        <is>
          <t>2023-04</t>
        </is>
      </c>
      <c r="B5" s="5" t="n">
        <v>2643028.12</v>
      </c>
      <c r="C5" s="5" t="n">
        <v>7482429.92</v>
      </c>
      <c r="D5" s="5" t="n">
        <v>11171610.21</v>
      </c>
      <c r="E5" s="5" t="n">
        <v>13870488.77</v>
      </c>
      <c r="F5" s="5" t="n">
        <v>15789694.27</v>
      </c>
      <c r="G5" s="5" t="n">
        <v>17103902.52</v>
      </c>
      <c r="H5" s="5" t="n">
        <v>17929679.18</v>
      </c>
      <c r="I5" s="5" t="n">
        <v>18561550.48</v>
      </c>
      <c r="J5" s="5" t="n">
        <v>18959714.87</v>
      </c>
      <c r="K5" s="5" t="n">
        <v>19209218.05</v>
      </c>
      <c r="L5" s="5" t="n">
        <v>19381906.64</v>
      </c>
      <c r="M5" s="5" t="n">
        <v>19493398.3</v>
      </c>
      <c r="N5" s="5" t="n">
        <v>19563454.35</v>
      </c>
      <c r="O5" s="5" t="n">
        <v>19611364.01</v>
      </c>
      <c r="P5" s="5" t="n">
        <v>19641902.33</v>
      </c>
      <c r="Q5" s="5" t="n">
        <v>19661936.67</v>
      </c>
      <c r="R5" s="5" t="n">
        <v>19674531.85</v>
      </c>
      <c r="S5" s="5" t="n">
        <v>19683091.73</v>
      </c>
      <c r="T5" s="5" t="n">
        <v>19688657.03</v>
      </c>
      <c r="U5" s="5" t="n">
        <v>19692185.26</v>
      </c>
      <c r="V5" s="5" t="n">
        <v>19694612.3</v>
      </c>
      <c r="W5" s="5" t="n">
        <v>19696089.52</v>
      </c>
      <c r="X5" s="5" t="n">
        <v>19697064.6</v>
      </c>
      <c r="Y5" s="5" t="n">
        <v>19697690.76</v>
      </c>
      <c r="Z5" s="5" t="n">
        <v>19698104.84</v>
      </c>
      <c r="AA5" s="5" t="n">
        <v>19698362.72</v>
      </c>
      <c r="AB5" s="5" t="n">
        <v>19698532.1</v>
      </c>
      <c r="AC5" s="5" t="n">
        <v>19698640.88</v>
      </c>
      <c r="AD5" s="5" t="n">
        <v>19698712.54</v>
      </c>
      <c r="AE5" s="5" t="n">
        <v>19698756.46</v>
      </c>
      <c r="AF5" s="5" t="n">
        <v>19698786.38</v>
      </c>
      <c r="AG5" s="5" t="n">
        <v>19698806.91</v>
      </c>
      <c r="AH5" s="5" t="n">
        <v>19698819.01</v>
      </c>
      <c r="AI5" s="5" t="n">
        <v>19698826.51</v>
      </c>
      <c r="AJ5" s="5" t="n">
        <v>19698831.49</v>
      </c>
      <c r="AK5" s="5" t="n">
        <v>19698835.02</v>
      </c>
      <c r="AL5" s="5" t="n">
        <v>19698837.1</v>
      </c>
      <c r="AM5" s="5" t="n">
        <v>19698837.1</v>
      </c>
      <c r="AN5" s="5" t="n">
        <v>19698837.1</v>
      </c>
      <c r="AO5" s="5" t="n">
        <v>19698837.1</v>
      </c>
      <c r="AP5" s="5" t="n">
        <v>19698837.1</v>
      </c>
      <c r="AQ5" s="5" t="n">
        <v>19698837.1</v>
      </c>
    </row>
    <row r="6">
      <c r="A6" s="6" t="inlineStr">
        <is>
          <t>2023-05</t>
        </is>
      </c>
      <c r="B6" s="5" t="n">
        <v>2424616.05</v>
      </c>
      <c r="C6" s="5" t="n">
        <v>7317241.09</v>
      </c>
      <c r="D6" s="5" t="n">
        <v>10733832.44</v>
      </c>
      <c r="E6" s="5" t="n">
        <v>13169383.3</v>
      </c>
      <c r="F6" s="5" t="n">
        <v>14867488.16</v>
      </c>
      <c r="G6" s="5" t="n">
        <v>16038729.46</v>
      </c>
      <c r="H6" s="5" t="n">
        <v>16849514.21</v>
      </c>
      <c r="I6" s="5" t="n">
        <v>17362565.84</v>
      </c>
      <c r="J6" s="5" t="n">
        <v>17695551.95</v>
      </c>
      <c r="K6" s="5" t="n">
        <v>17928174.14</v>
      </c>
      <c r="L6" s="5" t="n">
        <v>18077215.52</v>
      </c>
      <c r="M6" s="5" t="n">
        <v>18178841.24</v>
      </c>
      <c r="N6" s="5" t="n">
        <v>18251112.67</v>
      </c>
      <c r="O6" s="5" t="n">
        <v>18295008.65</v>
      </c>
      <c r="P6" s="5" t="n">
        <v>18322226.63</v>
      </c>
      <c r="Q6" s="5" t="n">
        <v>18340430</v>
      </c>
      <c r="R6" s="5" t="n">
        <v>18352384.29</v>
      </c>
      <c r="S6" s="5" t="n">
        <v>18359837.6</v>
      </c>
      <c r="T6" s="5" t="n">
        <v>18364937.21</v>
      </c>
      <c r="U6" s="5" t="n">
        <v>18368146.4</v>
      </c>
      <c r="V6" s="5" t="n">
        <v>18370293.83</v>
      </c>
      <c r="W6" s="5" t="n">
        <v>18371665.77</v>
      </c>
      <c r="X6" s="5" t="n">
        <v>18372470.56</v>
      </c>
      <c r="Y6" s="5" t="n">
        <v>18373034.91</v>
      </c>
      <c r="Z6" s="5" t="n">
        <v>18373384.89</v>
      </c>
      <c r="AA6" s="5" t="n">
        <v>18373613.21</v>
      </c>
      <c r="AB6" s="5" t="n">
        <v>18373758.64</v>
      </c>
      <c r="AC6" s="5" t="n">
        <v>18373855.56</v>
      </c>
      <c r="AD6" s="5" t="n">
        <v>18373916.15</v>
      </c>
      <c r="AE6" s="5" t="n">
        <v>18373956.31</v>
      </c>
      <c r="AF6" s="5" t="n">
        <v>18373981.3</v>
      </c>
      <c r="AG6" s="5" t="n">
        <v>18373996.7</v>
      </c>
      <c r="AH6" s="5" t="n">
        <v>18374007.11</v>
      </c>
      <c r="AI6" s="5" t="n">
        <v>18374013.97</v>
      </c>
      <c r="AJ6" s="5" t="n">
        <v>18374018.4</v>
      </c>
      <c r="AK6" s="5" t="n">
        <v>18374021.2</v>
      </c>
      <c r="AL6" s="5" t="n">
        <v>18374022.98</v>
      </c>
      <c r="AM6" s="5" t="n">
        <v>18374022.98</v>
      </c>
      <c r="AN6" s="5" t="n">
        <v>18374022.98</v>
      </c>
      <c r="AO6" s="5" t="n">
        <v>18374022.98</v>
      </c>
      <c r="AP6" s="5" t="n">
        <v>18374022.98</v>
      </c>
    </row>
    <row r="7">
      <c r="A7" s="6" t="inlineStr">
        <is>
          <t>2023-06</t>
        </is>
      </c>
      <c r="B7" s="5" t="n">
        <v>2342849.54</v>
      </c>
      <c r="C7" s="5" t="n">
        <v>6620503.35</v>
      </c>
      <c r="D7" s="5" t="n">
        <v>10120071.84</v>
      </c>
      <c r="E7" s="5" t="n">
        <v>12563985.31</v>
      </c>
      <c r="F7" s="5" t="n">
        <v>14219874.93</v>
      </c>
      <c r="G7" s="5" t="n">
        <v>15401418.05</v>
      </c>
      <c r="H7" s="5" t="n">
        <v>16167806.52</v>
      </c>
      <c r="I7" s="5" t="n">
        <v>16679337.23</v>
      </c>
      <c r="J7" s="5" t="n">
        <v>17002779.98</v>
      </c>
      <c r="K7" s="5" t="n">
        <v>17226281.18</v>
      </c>
      <c r="L7" s="5" t="n">
        <v>17379299.93</v>
      </c>
      <c r="M7" s="5" t="n">
        <v>17476356.14</v>
      </c>
      <c r="N7" s="5" t="n">
        <v>17539937.53</v>
      </c>
      <c r="O7" s="5" t="n">
        <v>17579933.92</v>
      </c>
      <c r="P7" s="5" t="n">
        <v>17606580.3</v>
      </c>
      <c r="Q7" s="5" t="n">
        <v>17623067.5</v>
      </c>
      <c r="R7" s="5" t="n">
        <v>17634418.99</v>
      </c>
      <c r="S7" s="5" t="n">
        <v>17641606.93</v>
      </c>
      <c r="T7" s="5" t="n">
        <v>17646382.61</v>
      </c>
      <c r="U7" s="5" t="n">
        <v>17649278.26</v>
      </c>
      <c r="V7" s="5" t="n">
        <v>17651359.71</v>
      </c>
      <c r="W7" s="5" t="n">
        <v>17652671.97</v>
      </c>
      <c r="X7" s="5" t="n">
        <v>17653532.2</v>
      </c>
      <c r="Y7" s="5" t="n">
        <v>17654077.08</v>
      </c>
      <c r="Z7" s="5" t="n">
        <v>17654428.17</v>
      </c>
      <c r="AA7" s="5" t="n">
        <v>17654661.63</v>
      </c>
      <c r="AB7" s="5" t="n">
        <v>17654805.08</v>
      </c>
      <c r="AC7" s="5" t="n">
        <v>17654899.9</v>
      </c>
      <c r="AD7" s="5" t="n">
        <v>17654957.49</v>
      </c>
      <c r="AE7" s="5" t="n">
        <v>17654994.93</v>
      </c>
      <c r="AF7" s="5" t="n">
        <v>17655018.5</v>
      </c>
      <c r="AG7" s="5" t="n">
        <v>17655033.76</v>
      </c>
      <c r="AH7" s="5" t="n">
        <v>17655043.92</v>
      </c>
      <c r="AI7" s="5" t="n">
        <v>17655050.67</v>
      </c>
      <c r="AJ7" s="5" t="n">
        <v>17655054.89</v>
      </c>
      <c r="AK7" s="5" t="n">
        <v>17655057.62</v>
      </c>
      <c r="AL7" s="5" t="n">
        <v>17655059.11</v>
      </c>
      <c r="AM7" s="5" t="n">
        <v>17655059.11</v>
      </c>
      <c r="AN7" s="5" t="n">
        <v>17655059.11</v>
      </c>
      <c r="AO7" s="5" t="n">
        <v>17655059.11</v>
      </c>
    </row>
    <row r="8">
      <c r="A8" s="6" t="inlineStr">
        <is>
          <t>2023-07</t>
        </is>
      </c>
      <c r="B8" s="5" t="n">
        <v>2455059.74</v>
      </c>
      <c r="C8" s="5" t="n">
        <v>7031679.65</v>
      </c>
      <c r="D8" s="5" t="n">
        <v>10375865.71</v>
      </c>
      <c r="E8" s="5" t="n">
        <v>12804399.55</v>
      </c>
      <c r="F8" s="5" t="n">
        <v>14473941.77</v>
      </c>
      <c r="G8" s="5" t="n">
        <v>15683641.23</v>
      </c>
      <c r="H8" s="5" t="n">
        <v>16493146.19</v>
      </c>
      <c r="I8" s="5" t="n">
        <v>17054697.9</v>
      </c>
      <c r="J8" s="5" t="n">
        <v>17401960.82</v>
      </c>
      <c r="K8" s="5" t="n">
        <v>17629647.98</v>
      </c>
      <c r="L8" s="5" t="n">
        <v>17773857.09</v>
      </c>
      <c r="M8" s="5" t="n">
        <v>17871292.11</v>
      </c>
      <c r="N8" s="5" t="n">
        <v>17937391.47</v>
      </c>
      <c r="O8" s="5" t="n">
        <v>17979598.94</v>
      </c>
      <c r="P8" s="5" t="n">
        <v>18007119.92</v>
      </c>
      <c r="Q8" s="5" t="n">
        <v>18025149.58</v>
      </c>
      <c r="R8" s="5" t="n">
        <v>18036454.11</v>
      </c>
      <c r="S8" s="5" t="n">
        <v>18043731.36</v>
      </c>
      <c r="T8" s="5" t="n">
        <v>18048603.84</v>
      </c>
      <c r="U8" s="5" t="n">
        <v>18051675.17</v>
      </c>
      <c r="V8" s="5" t="n">
        <v>18053633.81</v>
      </c>
      <c r="W8" s="5" t="n">
        <v>18054984.94</v>
      </c>
      <c r="X8" s="5" t="n">
        <v>18055831.8</v>
      </c>
      <c r="Y8" s="5" t="n">
        <v>18056360.54</v>
      </c>
      <c r="Z8" s="5" t="n">
        <v>18056697.96</v>
      </c>
      <c r="AA8" s="5" t="n">
        <v>18056906.29</v>
      </c>
      <c r="AB8" s="5" t="n">
        <v>18057050.76</v>
      </c>
      <c r="AC8" s="5" t="n">
        <v>18057140.72</v>
      </c>
      <c r="AD8" s="5" t="n">
        <v>18057201.07</v>
      </c>
      <c r="AE8" s="5" t="n">
        <v>18057238.2</v>
      </c>
      <c r="AF8" s="5" t="n">
        <v>18057262.06</v>
      </c>
      <c r="AG8" s="5" t="n">
        <v>18057277.91</v>
      </c>
      <c r="AH8" s="5" t="n">
        <v>18057287.91</v>
      </c>
      <c r="AI8" s="5" t="n">
        <v>18057294.33</v>
      </c>
      <c r="AJ8" s="5" t="n">
        <v>18057298.39</v>
      </c>
      <c r="AK8" s="5" t="n">
        <v>18057300.6</v>
      </c>
      <c r="AL8" s="5" t="n">
        <v>18057302.57</v>
      </c>
      <c r="AM8" s="5" t="n">
        <v>18057302.57</v>
      </c>
      <c r="AN8" s="5" t="n">
        <v>18057302.57</v>
      </c>
    </row>
    <row r="9">
      <c r="A9" s="6" t="inlineStr">
        <is>
          <t>2023-08</t>
        </is>
      </c>
      <c r="B9" s="5" t="n">
        <v>2486264.42</v>
      </c>
      <c r="C9" s="5" t="n">
        <v>7358804.51</v>
      </c>
      <c r="D9" s="5" t="n">
        <v>10960525.44</v>
      </c>
      <c r="E9" s="5" t="n">
        <v>13491504.42</v>
      </c>
      <c r="F9" s="5" t="n">
        <v>15278001.64</v>
      </c>
      <c r="G9" s="5" t="n">
        <v>16534195.99</v>
      </c>
      <c r="H9" s="5" t="n">
        <v>17338811.83</v>
      </c>
      <c r="I9" s="5" t="n">
        <v>17869201.53</v>
      </c>
      <c r="J9" s="5" t="n">
        <v>18229554.46</v>
      </c>
      <c r="K9" s="5" t="n">
        <v>18465628.97</v>
      </c>
      <c r="L9" s="5" t="n">
        <v>18613563.79</v>
      </c>
      <c r="M9" s="5" t="n">
        <v>18710872.62</v>
      </c>
      <c r="N9" s="5" t="n">
        <v>18776648.47</v>
      </c>
      <c r="O9" s="5" t="n">
        <v>18819936.36</v>
      </c>
      <c r="P9" s="5" t="n">
        <v>18848639.3</v>
      </c>
      <c r="Q9" s="5" t="n">
        <v>18866692.11</v>
      </c>
      <c r="R9" s="5" t="n">
        <v>18878251.1</v>
      </c>
      <c r="S9" s="5" t="n">
        <v>18885429.67</v>
      </c>
      <c r="T9" s="5" t="n">
        <v>18890392.69</v>
      </c>
      <c r="U9" s="5" t="n">
        <v>18893622.6</v>
      </c>
      <c r="V9" s="5" t="n">
        <v>18895615.99</v>
      </c>
      <c r="W9" s="5" t="n">
        <v>18896910.03</v>
      </c>
      <c r="X9" s="5" t="n">
        <v>18897715.33</v>
      </c>
      <c r="Y9" s="5" t="n">
        <v>18898251.48</v>
      </c>
      <c r="Z9" s="5" t="n">
        <v>18898602.27</v>
      </c>
      <c r="AA9" s="5" t="n">
        <v>18898829.98</v>
      </c>
      <c r="AB9" s="5" t="n">
        <v>18898964.38</v>
      </c>
      <c r="AC9" s="5" t="n">
        <v>18899053.26</v>
      </c>
      <c r="AD9" s="5" t="n">
        <v>18899109.17</v>
      </c>
      <c r="AE9" s="5" t="n">
        <v>18899146.99</v>
      </c>
      <c r="AF9" s="5" t="n">
        <v>18899170.85</v>
      </c>
      <c r="AG9" s="5" t="n">
        <v>18899185.68</v>
      </c>
      <c r="AH9" s="5" t="n">
        <v>18899195.44</v>
      </c>
      <c r="AI9" s="5" t="n">
        <v>18899201.48</v>
      </c>
      <c r="AJ9" s="5" t="n">
        <v>18899204.86</v>
      </c>
      <c r="AK9" s="5" t="n">
        <v>18899207.91</v>
      </c>
      <c r="AL9" s="5" t="n">
        <v>18899209.63</v>
      </c>
      <c r="AM9" s="5" t="n">
        <v>18899209.63</v>
      </c>
    </row>
    <row r="10">
      <c r="A10" s="6" t="inlineStr">
        <is>
          <t>2023-09</t>
        </is>
      </c>
      <c r="B10" s="5" t="n">
        <v>2434282.69</v>
      </c>
      <c r="C10" s="5" t="n">
        <v>6939321.24</v>
      </c>
      <c r="D10" s="5" t="n">
        <v>10441862.05</v>
      </c>
      <c r="E10" s="5" t="n">
        <v>12854951.5</v>
      </c>
      <c r="F10" s="5" t="n">
        <v>14570693.84</v>
      </c>
      <c r="G10" s="5" t="n">
        <v>15715481.6</v>
      </c>
      <c r="H10" s="5" t="n">
        <v>16474993.88</v>
      </c>
      <c r="I10" s="5" t="n">
        <v>16968906.97</v>
      </c>
      <c r="J10" s="5" t="n">
        <v>17304058.82</v>
      </c>
      <c r="K10" s="5" t="n">
        <v>17517591.69</v>
      </c>
      <c r="L10" s="5" t="n">
        <v>17659742.49</v>
      </c>
      <c r="M10" s="5" t="n">
        <v>17755056.94</v>
      </c>
      <c r="N10" s="5" t="n">
        <v>17817609.76</v>
      </c>
      <c r="O10" s="5" t="n">
        <v>17856852.19</v>
      </c>
      <c r="P10" s="5" t="n">
        <v>17882031.65</v>
      </c>
      <c r="Q10" s="5" t="n">
        <v>17898196.35</v>
      </c>
      <c r="R10" s="5" t="n">
        <v>17909142.3</v>
      </c>
      <c r="S10" s="5" t="n">
        <v>17916190.83</v>
      </c>
      <c r="T10" s="5" t="n">
        <v>17920773.59</v>
      </c>
      <c r="U10" s="5" t="n">
        <v>17923553.14</v>
      </c>
      <c r="V10" s="5" t="n">
        <v>17925439.81</v>
      </c>
      <c r="W10" s="5" t="n">
        <v>17926611.54</v>
      </c>
      <c r="X10" s="5" t="n">
        <v>17927409.59</v>
      </c>
      <c r="Y10" s="5" t="n">
        <v>17927925.98</v>
      </c>
      <c r="Z10" s="5" t="n">
        <v>17928244.88</v>
      </c>
      <c r="AA10" s="5" t="n">
        <v>17928441.46</v>
      </c>
      <c r="AB10" s="5" t="n">
        <v>17928568.64</v>
      </c>
      <c r="AC10" s="5" t="n">
        <v>17928652.26</v>
      </c>
      <c r="AD10" s="5" t="n">
        <v>17928707.49</v>
      </c>
      <c r="AE10" s="5" t="n">
        <v>17928740.14</v>
      </c>
      <c r="AF10" s="5" t="n">
        <v>17928763.04</v>
      </c>
      <c r="AG10" s="5" t="n">
        <v>17928777.83</v>
      </c>
      <c r="AH10" s="5" t="n">
        <v>17928787.34</v>
      </c>
      <c r="AI10" s="5" t="n">
        <v>17928792.63</v>
      </c>
      <c r="AJ10" s="5" t="n">
        <v>17928797.1</v>
      </c>
      <c r="AK10" s="5" t="n">
        <v>17928799.43</v>
      </c>
      <c r="AL10" s="5" t="n">
        <v>17928800.93</v>
      </c>
    </row>
    <row r="11">
      <c r="A11" s="6" t="inlineStr">
        <is>
          <t>2023-10</t>
        </is>
      </c>
      <c r="B11" s="5" t="n">
        <v>2612330.92</v>
      </c>
      <c r="C11" s="5" t="n">
        <v>7331311.46</v>
      </c>
      <c r="D11" s="5" t="n">
        <v>10995054.9</v>
      </c>
      <c r="E11" s="5" t="n">
        <v>13705526.94</v>
      </c>
      <c r="F11" s="5" t="n">
        <v>15467139.72</v>
      </c>
      <c r="G11" s="5" t="n">
        <v>16707347.94</v>
      </c>
      <c r="H11" s="5" t="n">
        <v>17556030.42</v>
      </c>
      <c r="I11" s="5" t="n">
        <v>18095481.69</v>
      </c>
      <c r="J11" s="5" t="n">
        <v>18452605.59</v>
      </c>
      <c r="K11" s="5" t="n">
        <v>18688515.92</v>
      </c>
      <c r="L11" s="5" t="n">
        <v>18842167.99</v>
      </c>
      <c r="M11" s="5" t="n">
        <v>18942326.52</v>
      </c>
      <c r="N11" s="5" t="n">
        <v>19004480.41</v>
      </c>
      <c r="O11" s="5" t="n">
        <v>19045813.28</v>
      </c>
      <c r="P11" s="5" t="n">
        <v>19072885.38</v>
      </c>
      <c r="Q11" s="5" t="n">
        <v>19090481.38</v>
      </c>
      <c r="R11" s="5" t="n">
        <v>19101409.99</v>
      </c>
      <c r="S11" s="5" t="n">
        <v>19108689.61</v>
      </c>
      <c r="T11" s="5" t="n">
        <v>19113651.63</v>
      </c>
      <c r="U11" s="5" t="n">
        <v>19116735.18</v>
      </c>
      <c r="V11" s="5" t="n">
        <v>19118654.5</v>
      </c>
      <c r="W11" s="5" t="n">
        <v>19119901.39</v>
      </c>
      <c r="X11" s="5" t="n">
        <v>19120720.76</v>
      </c>
      <c r="Y11" s="5" t="n">
        <v>19121242.48</v>
      </c>
      <c r="Z11" s="5" t="n">
        <v>19121578.22</v>
      </c>
      <c r="AA11" s="5" t="n">
        <v>19121808.09</v>
      </c>
      <c r="AB11" s="5" t="n">
        <v>19121946.03</v>
      </c>
      <c r="AC11" s="5" t="n">
        <v>19122033.44</v>
      </c>
      <c r="AD11" s="5" t="n">
        <v>19122089.08</v>
      </c>
      <c r="AE11" s="5" t="n">
        <v>19122124.28</v>
      </c>
      <c r="AF11" s="5" t="n">
        <v>19122147.74</v>
      </c>
      <c r="AG11" s="5" t="n">
        <v>19122162.79</v>
      </c>
      <c r="AH11" s="5" t="n">
        <v>19122170.37</v>
      </c>
      <c r="AI11" s="5" t="n">
        <v>19122177.26</v>
      </c>
      <c r="AJ11" s="5" t="n">
        <v>19122181.12</v>
      </c>
      <c r="AK11" s="5" t="n">
        <v>19122183.5</v>
      </c>
    </row>
    <row r="12">
      <c r="A12" s="6" t="inlineStr">
        <is>
          <t>2023-11</t>
        </is>
      </c>
      <c r="B12" s="5" t="n">
        <v>2476255.59</v>
      </c>
      <c r="C12" s="5" t="n">
        <v>7067072.68</v>
      </c>
      <c r="D12" s="5" t="n">
        <v>10778527.9</v>
      </c>
      <c r="E12" s="5" t="n">
        <v>13412666.68</v>
      </c>
      <c r="F12" s="5" t="n">
        <v>15232058.6</v>
      </c>
      <c r="G12" s="5" t="n">
        <v>16451104.91</v>
      </c>
      <c r="H12" s="5" t="n">
        <v>17292566.42</v>
      </c>
      <c r="I12" s="5" t="n">
        <v>17822222.89</v>
      </c>
      <c r="J12" s="5" t="n">
        <v>18168627.75</v>
      </c>
      <c r="K12" s="5" t="n">
        <v>18395348.46</v>
      </c>
      <c r="L12" s="5" t="n">
        <v>18543372.87</v>
      </c>
      <c r="M12" s="5" t="n">
        <v>18639622.76</v>
      </c>
      <c r="N12" s="5" t="n">
        <v>18704591.08</v>
      </c>
      <c r="O12" s="5" t="n">
        <v>18744373.69</v>
      </c>
      <c r="P12" s="5" t="n">
        <v>18769843.36</v>
      </c>
      <c r="Q12" s="5" t="n">
        <v>18787235.92</v>
      </c>
      <c r="R12" s="5" t="n">
        <v>18797705.66</v>
      </c>
      <c r="S12" s="5" t="n">
        <v>18804711.67</v>
      </c>
      <c r="T12" s="5" t="n">
        <v>18809216.1</v>
      </c>
      <c r="U12" s="5" t="n">
        <v>18812115.75</v>
      </c>
      <c r="V12" s="5" t="n">
        <v>18814027.85</v>
      </c>
      <c r="W12" s="5" t="n">
        <v>18815214.54</v>
      </c>
      <c r="X12" s="5" t="n">
        <v>18815965.44</v>
      </c>
      <c r="Y12" s="5" t="n">
        <v>18816449.71</v>
      </c>
      <c r="Z12" s="5" t="n">
        <v>18816770.06</v>
      </c>
      <c r="AA12" s="5" t="n">
        <v>18816985.37</v>
      </c>
      <c r="AB12" s="5" t="n">
        <v>18817109.9</v>
      </c>
      <c r="AC12" s="5" t="n">
        <v>18817192.59</v>
      </c>
      <c r="AD12" s="5" t="n">
        <v>18817246.77</v>
      </c>
      <c r="AE12" s="5" t="n">
        <v>18817279.53</v>
      </c>
      <c r="AF12" s="5" t="n">
        <v>18817301.71</v>
      </c>
      <c r="AG12" s="5" t="n">
        <v>18817313.54</v>
      </c>
      <c r="AH12" s="5" t="n">
        <v>18817323.94</v>
      </c>
      <c r="AI12" s="5" t="n">
        <v>18817329.54</v>
      </c>
      <c r="AJ12" s="5" t="n">
        <v>18817333.33</v>
      </c>
    </row>
    <row r="13">
      <c r="A13" s="6" t="inlineStr">
        <is>
          <t>2023-12</t>
        </is>
      </c>
      <c r="B13" s="5" t="n">
        <v>3016686.06</v>
      </c>
      <c r="C13" s="5" t="n">
        <v>8502841.5</v>
      </c>
      <c r="D13" s="5" t="n">
        <v>12752657.17</v>
      </c>
      <c r="E13" s="5" t="n">
        <v>15841932.62</v>
      </c>
      <c r="F13" s="5" t="n">
        <v>17985060.37</v>
      </c>
      <c r="G13" s="5" t="n">
        <v>19366546.81</v>
      </c>
      <c r="H13" s="5" t="n">
        <v>20299795.29</v>
      </c>
      <c r="I13" s="5" t="n">
        <v>20921321.09</v>
      </c>
      <c r="J13" s="5" t="n">
        <v>21302645.8</v>
      </c>
      <c r="K13" s="5" t="n">
        <v>21567624.85</v>
      </c>
      <c r="L13" s="5" t="n">
        <v>21739366.01</v>
      </c>
      <c r="M13" s="5" t="n">
        <v>21854953.71</v>
      </c>
      <c r="N13" s="5" t="n">
        <v>21927195.03</v>
      </c>
      <c r="O13" s="5" t="n">
        <v>21975956.92</v>
      </c>
      <c r="P13" s="5" t="n">
        <v>22006759.44</v>
      </c>
      <c r="Q13" s="5" t="n">
        <v>22027084.08</v>
      </c>
      <c r="R13" s="5" t="n">
        <v>22040276.04</v>
      </c>
      <c r="S13" s="5" t="n">
        <v>22048028.28</v>
      </c>
      <c r="T13" s="5" t="n">
        <v>22053107.05</v>
      </c>
      <c r="U13" s="5" t="n">
        <v>22056365.9</v>
      </c>
      <c r="V13" s="5" t="n">
        <v>22058563.73</v>
      </c>
      <c r="W13" s="5" t="n">
        <v>22059934.24</v>
      </c>
      <c r="X13" s="5" t="n">
        <v>22060796.76</v>
      </c>
      <c r="Y13" s="5" t="n">
        <v>22061363.79</v>
      </c>
      <c r="Z13" s="5" t="n">
        <v>22061725.7</v>
      </c>
      <c r="AA13" s="5" t="n">
        <v>22061970.12</v>
      </c>
      <c r="AB13" s="5" t="n">
        <v>22062115.99</v>
      </c>
      <c r="AC13" s="5" t="n">
        <v>22062214.82</v>
      </c>
      <c r="AD13" s="5" t="n">
        <v>22062274.06</v>
      </c>
      <c r="AE13" s="5" t="n">
        <v>22062316.34</v>
      </c>
      <c r="AF13" s="5" t="n">
        <v>22062338.09</v>
      </c>
      <c r="AG13" s="5" t="n">
        <v>22062356.05</v>
      </c>
      <c r="AH13" s="5" t="n">
        <v>22062366.2</v>
      </c>
      <c r="AI13" s="5" t="n">
        <v>22062372.47</v>
      </c>
    </row>
    <row r="14">
      <c r="A14" s="6" t="inlineStr">
        <is>
          <t>2024-01</t>
        </is>
      </c>
      <c r="B14" s="5" t="n">
        <v>2918876.34</v>
      </c>
      <c r="C14" s="5" t="n">
        <v>8030524.09</v>
      </c>
      <c r="D14" s="5" t="n">
        <v>11818589.37</v>
      </c>
      <c r="E14" s="5" t="n">
        <v>14629217.72</v>
      </c>
      <c r="F14" s="5" t="n">
        <v>16613603.85</v>
      </c>
      <c r="G14" s="5" t="n">
        <v>17911514.88</v>
      </c>
      <c r="H14" s="5" t="n">
        <v>18760077.61</v>
      </c>
      <c r="I14" s="5" t="n">
        <v>19313478.57</v>
      </c>
      <c r="J14" s="5" t="n">
        <v>19683618.9</v>
      </c>
      <c r="K14" s="5" t="n">
        <v>19938131.79</v>
      </c>
      <c r="L14" s="5" t="n">
        <v>20088484.17</v>
      </c>
      <c r="M14" s="5" t="n">
        <v>20195357.01</v>
      </c>
      <c r="N14" s="5" t="n">
        <v>20262997.81</v>
      </c>
      <c r="O14" s="5" t="n">
        <v>20306139.69</v>
      </c>
      <c r="P14" s="5" t="n">
        <v>20333113.43</v>
      </c>
      <c r="Q14" s="5" t="n">
        <v>20351035.09</v>
      </c>
      <c r="R14" s="5" t="n">
        <v>20362796.85</v>
      </c>
      <c r="S14" s="5" t="n">
        <v>20370166.38</v>
      </c>
      <c r="T14" s="5" t="n">
        <v>20374803.57</v>
      </c>
      <c r="U14" s="5" t="n">
        <v>20377768.66</v>
      </c>
      <c r="V14" s="5" t="n">
        <v>20379694.15</v>
      </c>
      <c r="W14" s="5" t="n">
        <v>20380950.59</v>
      </c>
      <c r="X14" s="5" t="n">
        <v>20381777.06</v>
      </c>
      <c r="Y14" s="5" t="n">
        <v>20382287.44</v>
      </c>
      <c r="Z14" s="5" t="n">
        <v>20382611.37</v>
      </c>
      <c r="AA14" s="5" t="n">
        <v>20382822.66</v>
      </c>
      <c r="AB14" s="5" t="n">
        <v>20382952.11</v>
      </c>
      <c r="AC14" s="5" t="n">
        <v>20383038.39</v>
      </c>
      <c r="AD14" s="5" t="n">
        <v>20383090.79</v>
      </c>
      <c r="AE14" s="5" t="n">
        <v>20383120.25</v>
      </c>
      <c r="AF14" s="5" t="n">
        <v>20383146.59</v>
      </c>
      <c r="AG14" s="5" t="n">
        <v>20383160.55</v>
      </c>
      <c r="AH14" s="5" t="n">
        <v>20383169.46</v>
      </c>
    </row>
    <row r="15">
      <c r="A15" s="6" t="inlineStr">
        <is>
          <t>2024-02</t>
        </is>
      </c>
      <c r="B15" s="5" t="n">
        <v>2708480.36</v>
      </c>
      <c r="C15" s="5" t="n">
        <v>7914023.9</v>
      </c>
      <c r="D15" s="5" t="n">
        <v>11613088.96</v>
      </c>
      <c r="E15" s="5" t="n">
        <v>14207421.23</v>
      </c>
      <c r="F15" s="5" t="n">
        <v>15897063.51</v>
      </c>
      <c r="G15" s="5" t="n">
        <v>17107858</v>
      </c>
      <c r="H15" s="5" t="n">
        <v>17895098.82</v>
      </c>
      <c r="I15" s="5" t="n">
        <v>18419270.75</v>
      </c>
      <c r="J15" s="5" t="n">
        <v>18754604.87</v>
      </c>
      <c r="K15" s="5" t="n">
        <v>18982873.87</v>
      </c>
      <c r="L15" s="5" t="n">
        <v>19133729.35</v>
      </c>
      <c r="M15" s="5" t="n">
        <v>19232003.87</v>
      </c>
      <c r="N15" s="5" t="n">
        <v>19294029.44</v>
      </c>
      <c r="O15" s="5" t="n">
        <v>19331935.67</v>
      </c>
      <c r="P15" s="5" t="n">
        <v>19357926</v>
      </c>
      <c r="Q15" s="5" t="n">
        <v>19374760.06</v>
      </c>
      <c r="R15" s="5" t="n">
        <v>19385285.69</v>
      </c>
      <c r="S15" s="5" t="n">
        <v>19391576.37</v>
      </c>
      <c r="T15" s="5" t="n">
        <v>19395703.15</v>
      </c>
      <c r="U15" s="5" t="n">
        <v>19398488.94</v>
      </c>
      <c r="V15" s="5" t="n">
        <v>19400234.76</v>
      </c>
      <c r="W15" s="5" t="n">
        <v>19401462.92</v>
      </c>
      <c r="X15" s="5" t="n">
        <v>19402159.55</v>
      </c>
      <c r="Y15" s="5" t="n">
        <v>19402622.06</v>
      </c>
      <c r="Z15" s="5" t="n">
        <v>19402932.46</v>
      </c>
      <c r="AA15" s="5" t="n">
        <v>19403118.24</v>
      </c>
      <c r="AB15" s="5" t="n">
        <v>19403241.74</v>
      </c>
      <c r="AC15" s="5" t="n">
        <v>19403314.72</v>
      </c>
      <c r="AD15" s="5" t="n">
        <v>19403358.66</v>
      </c>
      <c r="AE15" s="5" t="n">
        <v>19403394.99</v>
      </c>
      <c r="AF15" s="5" t="n">
        <v>19403414.55</v>
      </c>
      <c r="AG15" s="5" t="n">
        <v>19403426.81</v>
      </c>
    </row>
    <row r="16">
      <c r="A16" s="6" t="inlineStr">
        <is>
          <t>2024-03</t>
        </is>
      </c>
      <c r="B16" s="5" t="n">
        <v>2642112.8</v>
      </c>
      <c r="C16" s="5" t="n">
        <v>7532822.51</v>
      </c>
      <c r="D16" s="5" t="n">
        <v>11554169.06</v>
      </c>
      <c r="E16" s="5" t="n">
        <v>14212668.04</v>
      </c>
      <c r="F16" s="5" t="n">
        <v>16192305.57</v>
      </c>
      <c r="G16" s="5" t="n">
        <v>17516319.88</v>
      </c>
      <c r="H16" s="5" t="n">
        <v>18324777.81</v>
      </c>
      <c r="I16" s="5" t="n">
        <v>18895029.22</v>
      </c>
      <c r="J16" s="5" t="n">
        <v>19242518.5</v>
      </c>
      <c r="K16" s="5" t="n">
        <v>19485678.69</v>
      </c>
      <c r="L16" s="5" t="n">
        <v>19635856.07</v>
      </c>
      <c r="M16" s="5" t="n">
        <v>19736391.82</v>
      </c>
      <c r="N16" s="5" t="n">
        <v>19798306.95</v>
      </c>
      <c r="O16" s="5" t="n">
        <v>19841068.3</v>
      </c>
      <c r="P16" s="5" t="n">
        <v>19868222.38</v>
      </c>
      <c r="Q16" s="5" t="n">
        <v>19885514.82</v>
      </c>
      <c r="R16" s="5" t="n">
        <v>19896804.73</v>
      </c>
      <c r="S16" s="5" t="n">
        <v>19903622.57</v>
      </c>
      <c r="T16" s="5" t="n">
        <v>19908003.95</v>
      </c>
      <c r="U16" s="5" t="n">
        <v>19910950.2</v>
      </c>
      <c r="V16" s="5" t="n">
        <v>19912743.78</v>
      </c>
      <c r="W16" s="5" t="n">
        <v>19913903.91</v>
      </c>
      <c r="X16" s="5" t="n">
        <v>19914674.8</v>
      </c>
      <c r="Y16" s="5" t="n">
        <v>19915137.93</v>
      </c>
      <c r="Z16" s="5" t="n">
        <v>19915438.41</v>
      </c>
      <c r="AA16" s="5" t="n">
        <v>19915622.35</v>
      </c>
      <c r="AB16" s="5" t="n">
        <v>19915740.77</v>
      </c>
      <c r="AC16" s="5" t="n">
        <v>19915808.94</v>
      </c>
      <c r="AD16" s="5" t="n">
        <v>19915867.17</v>
      </c>
      <c r="AE16" s="5" t="n">
        <v>19915899.37</v>
      </c>
      <c r="AF16" s="5" t="n">
        <v>19915920.5</v>
      </c>
    </row>
    <row r="17">
      <c r="A17" s="6" t="inlineStr">
        <is>
          <t>2024-04</t>
        </is>
      </c>
      <c r="B17" s="5" t="n">
        <v>2864228.94</v>
      </c>
      <c r="C17" s="5" t="n">
        <v>8200510.14</v>
      </c>
      <c r="D17" s="5" t="n">
        <v>12390556.06</v>
      </c>
      <c r="E17" s="5" t="n">
        <v>15436815.06</v>
      </c>
      <c r="F17" s="5" t="n">
        <v>17393873.26</v>
      </c>
      <c r="G17" s="5" t="n">
        <v>18798315.52</v>
      </c>
      <c r="H17" s="5" t="n">
        <v>19718729.33</v>
      </c>
      <c r="I17" s="5" t="n">
        <v>20301645.04</v>
      </c>
      <c r="J17" s="5" t="n">
        <v>20698993.39</v>
      </c>
      <c r="K17" s="5" t="n">
        <v>20958794.96</v>
      </c>
      <c r="L17" s="5" t="n">
        <v>21114443.77</v>
      </c>
      <c r="M17" s="5" t="n">
        <v>21220008.31</v>
      </c>
      <c r="N17" s="5" t="n">
        <v>21289620.66</v>
      </c>
      <c r="O17" s="5" t="n">
        <v>21334614.57</v>
      </c>
      <c r="P17" s="5" t="n">
        <v>21363198.33</v>
      </c>
      <c r="Q17" s="5" t="n">
        <v>21380763.8</v>
      </c>
      <c r="R17" s="5" t="n">
        <v>21392169.41</v>
      </c>
      <c r="S17" s="5" t="n">
        <v>21399567.65</v>
      </c>
      <c r="T17" s="5" t="n">
        <v>21404166.62</v>
      </c>
      <c r="U17" s="5" t="n">
        <v>21407327.4</v>
      </c>
      <c r="V17" s="5" t="n">
        <v>21409293.7</v>
      </c>
      <c r="W17" s="5" t="n">
        <v>21410497.11</v>
      </c>
      <c r="X17" s="5" t="n">
        <v>21411280.21</v>
      </c>
      <c r="Y17" s="5" t="n">
        <v>21411780.65</v>
      </c>
      <c r="Z17" s="5" t="n">
        <v>21412103.78</v>
      </c>
      <c r="AA17" s="5" t="n">
        <v>21412301.4</v>
      </c>
      <c r="AB17" s="5" t="n">
        <v>21412412.48</v>
      </c>
      <c r="AC17" s="5" t="n">
        <v>21412510.19</v>
      </c>
      <c r="AD17" s="5" t="n">
        <v>21412560.89</v>
      </c>
      <c r="AE17" s="5" t="n">
        <v>21412594.52</v>
      </c>
    </row>
    <row r="18">
      <c r="A18" s="6" t="inlineStr">
        <is>
          <t>2024-05</t>
        </is>
      </c>
      <c r="B18" s="5" t="n">
        <v>2878060.89</v>
      </c>
      <c r="C18" s="5" t="n">
        <v>8291529.61</v>
      </c>
      <c r="D18" s="5" t="n">
        <v>12645847.57</v>
      </c>
      <c r="E18" s="5" t="n">
        <v>15729412.36</v>
      </c>
      <c r="F18" s="5" t="n">
        <v>17796837.98</v>
      </c>
      <c r="G18" s="5" t="n">
        <v>19194099.79</v>
      </c>
      <c r="H18" s="5" t="n">
        <v>20102427.36</v>
      </c>
      <c r="I18" s="5" t="n">
        <v>20731641.41</v>
      </c>
      <c r="J18" s="5" t="n">
        <v>21129839.97</v>
      </c>
      <c r="K18" s="5" t="n">
        <v>21384384.9</v>
      </c>
      <c r="L18" s="5" t="n">
        <v>21556446.05</v>
      </c>
      <c r="M18" s="5" t="n">
        <v>21666511.27</v>
      </c>
      <c r="N18" s="5" t="n">
        <v>21735871.35</v>
      </c>
      <c r="O18" s="5" t="n">
        <v>21780503.12</v>
      </c>
      <c r="P18" s="5" t="n">
        <v>21808956.32</v>
      </c>
      <c r="Q18" s="5" t="n">
        <v>21827609.86</v>
      </c>
      <c r="R18" s="5" t="n">
        <v>21839567.45</v>
      </c>
      <c r="S18" s="5" t="n">
        <v>21847177.96</v>
      </c>
      <c r="T18" s="5" t="n">
        <v>21851900.17</v>
      </c>
      <c r="U18" s="5" t="n">
        <v>21854836.67</v>
      </c>
      <c r="V18" s="5" t="n">
        <v>21856803.09</v>
      </c>
      <c r="W18" s="5" t="n">
        <v>21858053.59</v>
      </c>
      <c r="X18" s="5" t="n">
        <v>21858840.33</v>
      </c>
      <c r="Y18" s="5" t="n">
        <v>21859333.27</v>
      </c>
      <c r="Z18" s="5" t="n">
        <v>21859651.73</v>
      </c>
      <c r="AA18" s="5" t="n">
        <v>21859840.99</v>
      </c>
      <c r="AB18" s="5" t="n">
        <v>21859993.39</v>
      </c>
      <c r="AC18" s="5" t="n">
        <v>21860077.26</v>
      </c>
      <c r="AD18" s="5" t="n">
        <v>21860130.37</v>
      </c>
    </row>
    <row r="19">
      <c r="A19" s="6" t="inlineStr">
        <is>
          <t>2024-06</t>
        </is>
      </c>
      <c r="B19" s="5" t="n">
        <v>2843018.64</v>
      </c>
      <c r="C19" s="5" t="n">
        <v>8208312.34</v>
      </c>
      <c r="D19" s="5" t="n">
        <v>12222788.68</v>
      </c>
      <c r="E19" s="5" t="n">
        <v>15056762.72</v>
      </c>
      <c r="F19" s="5" t="n">
        <v>17002159.6</v>
      </c>
      <c r="G19" s="5" t="n">
        <v>18283702.83</v>
      </c>
      <c r="H19" s="5" t="n">
        <v>19177111.62</v>
      </c>
      <c r="I19" s="5" t="n">
        <v>19739417.49</v>
      </c>
      <c r="J19" s="5" t="n">
        <v>20112970.04</v>
      </c>
      <c r="K19" s="5" t="n">
        <v>20344614.56</v>
      </c>
      <c r="L19" s="5" t="n">
        <v>20493280.45</v>
      </c>
      <c r="M19" s="5" t="n">
        <v>20595674.16</v>
      </c>
      <c r="N19" s="5" t="n">
        <v>20659552.62</v>
      </c>
      <c r="O19" s="5" t="n">
        <v>20698485.75</v>
      </c>
      <c r="P19" s="5" t="n">
        <v>20725479.02</v>
      </c>
      <c r="Q19" s="5" t="n">
        <v>20742048.21</v>
      </c>
      <c r="R19" s="5" t="n">
        <v>20753047.97</v>
      </c>
      <c r="S19" s="5" t="n">
        <v>20759783.51</v>
      </c>
      <c r="T19" s="5" t="n">
        <v>20763996.61</v>
      </c>
      <c r="U19" s="5" t="n">
        <v>20766670.39</v>
      </c>
      <c r="V19" s="5" t="n">
        <v>20768405.06</v>
      </c>
      <c r="W19" s="5" t="n">
        <v>20769581.47</v>
      </c>
      <c r="X19" s="5" t="n">
        <v>20770302.55</v>
      </c>
      <c r="Y19" s="5" t="n">
        <v>20770736.72</v>
      </c>
      <c r="Z19" s="5" t="n">
        <v>20770974.18</v>
      </c>
      <c r="AA19" s="5" t="n">
        <v>20771182.59</v>
      </c>
      <c r="AB19" s="5" t="n">
        <v>20771291.19</v>
      </c>
      <c r="AC19" s="5" t="n">
        <v>20771358.01</v>
      </c>
    </row>
    <row r="20">
      <c r="A20" s="6" t="inlineStr">
        <is>
          <t>2024-07</t>
        </is>
      </c>
      <c r="B20" s="5" t="n">
        <v>2705308.4</v>
      </c>
      <c r="C20" s="5" t="n">
        <v>7935499</v>
      </c>
      <c r="D20" s="5" t="n">
        <v>12013298.82</v>
      </c>
      <c r="E20" s="5" t="n">
        <v>14731646.28</v>
      </c>
      <c r="F20" s="5" t="n">
        <v>16571050.28</v>
      </c>
      <c r="G20" s="5" t="n">
        <v>17791115.05</v>
      </c>
      <c r="H20" s="5" t="n">
        <v>18648781.74</v>
      </c>
      <c r="I20" s="5" t="n">
        <v>19184110.69</v>
      </c>
      <c r="J20" s="5" t="n">
        <v>19564720.11</v>
      </c>
      <c r="K20" s="5" t="n">
        <v>19794946.56</v>
      </c>
      <c r="L20" s="5" t="n">
        <v>19952473.11</v>
      </c>
      <c r="M20" s="5" t="n">
        <v>20053224.35</v>
      </c>
      <c r="N20" s="5" t="n">
        <v>20113827.15</v>
      </c>
      <c r="O20" s="5" t="n">
        <v>20153305.55</v>
      </c>
      <c r="P20" s="5" t="n">
        <v>20178836.84</v>
      </c>
      <c r="Q20" s="5" t="n">
        <v>20194764.58</v>
      </c>
      <c r="R20" s="5" t="n">
        <v>20204912.55</v>
      </c>
      <c r="S20" s="5" t="n">
        <v>20211714.05</v>
      </c>
      <c r="T20" s="5" t="n">
        <v>20215978.88</v>
      </c>
      <c r="U20" s="5" t="n">
        <v>20218753.27</v>
      </c>
      <c r="V20" s="5" t="n">
        <v>20220481.44</v>
      </c>
      <c r="W20" s="5" t="n">
        <v>20221592.73</v>
      </c>
      <c r="X20" s="5" t="n">
        <v>20222274.29</v>
      </c>
      <c r="Y20" s="5" t="n">
        <v>20222667.31</v>
      </c>
      <c r="Z20" s="5" t="n">
        <v>20222990.14</v>
      </c>
      <c r="AA20" s="5" t="n">
        <v>20223164.63</v>
      </c>
      <c r="AB20" s="5" t="n">
        <v>20223278.09</v>
      </c>
    </row>
    <row r="21">
      <c r="A21" s="6" t="inlineStr">
        <is>
          <t>2024-08</t>
        </is>
      </c>
      <c r="B21" s="5" t="n">
        <v>3151649.32</v>
      </c>
      <c r="C21" s="5" t="n">
        <v>8248249.02</v>
      </c>
      <c r="D21" s="5" t="n">
        <v>12281399.4</v>
      </c>
      <c r="E21" s="5" t="n">
        <v>15261588.33</v>
      </c>
      <c r="F21" s="5" t="n">
        <v>17282584.65</v>
      </c>
      <c r="G21" s="5" t="n">
        <v>18695152.39</v>
      </c>
      <c r="H21" s="5" t="n">
        <v>19594409.13</v>
      </c>
      <c r="I21" s="5" t="n">
        <v>20194231.61</v>
      </c>
      <c r="J21" s="5" t="n">
        <v>20572660.87</v>
      </c>
      <c r="K21" s="5" t="n">
        <v>20808032.64</v>
      </c>
      <c r="L21" s="5" t="n">
        <v>20962469</v>
      </c>
      <c r="M21" s="5" t="n">
        <v>21070087.88</v>
      </c>
      <c r="N21" s="5" t="n">
        <v>21135512.34</v>
      </c>
      <c r="O21" s="5" t="n">
        <v>21177349.12</v>
      </c>
      <c r="P21" s="5" t="n">
        <v>21204211.41</v>
      </c>
      <c r="Q21" s="5" t="n">
        <v>21221079.08</v>
      </c>
      <c r="R21" s="5" t="n">
        <v>21232020.64</v>
      </c>
      <c r="S21" s="5" t="n">
        <v>21238628</v>
      </c>
      <c r="T21" s="5" t="n">
        <v>21243036.03</v>
      </c>
      <c r="U21" s="5" t="n">
        <v>21245764.55</v>
      </c>
      <c r="V21" s="5" t="n">
        <v>21247531.35</v>
      </c>
      <c r="W21" s="5" t="n">
        <v>21248638.18</v>
      </c>
      <c r="X21" s="5" t="n">
        <v>21249264.15</v>
      </c>
      <c r="Y21" s="5" t="n">
        <v>21249795.85</v>
      </c>
      <c r="Z21" s="5" t="n">
        <v>21250086.75</v>
      </c>
      <c r="AA21" s="5" t="n">
        <v>21250257.7</v>
      </c>
    </row>
    <row r="22">
      <c r="A22" s="6" t="inlineStr">
        <is>
          <t>2024-09</t>
        </is>
      </c>
      <c r="B22" s="5" t="n">
        <v>2921301.65</v>
      </c>
      <c r="C22" s="5" t="n">
        <v>8284699.8</v>
      </c>
      <c r="D22" s="5" t="n">
        <v>12421178.98</v>
      </c>
      <c r="E22" s="5" t="n">
        <v>15221394.91</v>
      </c>
      <c r="F22" s="5" t="n">
        <v>17118539.27</v>
      </c>
      <c r="G22" s="5" t="n">
        <v>18429810.66</v>
      </c>
      <c r="H22" s="5" t="n">
        <v>19264387.76</v>
      </c>
      <c r="I22" s="5" t="n">
        <v>19838819.89</v>
      </c>
      <c r="J22" s="5" t="n">
        <v>20191634.92</v>
      </c>
      <c r="K22" s="5" t="n">
        <v>20427470.44</v>
      </c>
      <c r="L22" s="5" t="n">
        <v>20574077.84</v>
      </c>
      <c r="M22" s="5" t="n">
        <v>20668628.21</v>
      </c>
      <c r="N22" s="5" t="n">
        <v>20729940.69</v>
      </c>
      <c r="O22" s="5" t="n">
        <v>20769620.83</v>
      </c>
      <c r="P22" s="5" t="n">
        <v>20793330.21</v>
      </c>
      <c r="Q22" s="5" t="n">
        <v>20809398.06</v>
      </c>
      <c r="R22" s="5" t="n">
        <v>20819366.58</v>
      </c>
      <c r="S22" s="5" t="n">
        <v>20825715.36</v>
      </c>
      <c r="T22" s="5" t="n">
        <v>20829852.76</v>
      </c>
      <c r="U22" s="5" t="n">
        <v>20832442.15</v>
      </c>
      <c r="V22" s="5" t="n">
        <v>20834049.44</v>
      </c>
      <c r="W22" s="5" t="n">
        <v>20834961.96</v>
      </c>
      <c r="X22" s="5" t="n">
        <v>20835736.06</v>
      </c>
      <c r="Y22" s="5" t="n">
        <v>20836146.73</v>
      </c>
      <c r="Z22" s="5" t="n">
        <v>20836401.62</v>
      </c>
    </row>
    <row r="23">
      <c r="A23" s="6" t="inlineStr">
        <is>
          <t>2024-10</t>
        </is>
      </c>
      <c r="B23" s="5" t="n">
        <v>3291786.15</v>
      </c>
      <c r="C23" s="5" t="n">
        <v>9208576.74</v>
      </c>
      <c r="D23" s="5" t="n">
        <v>13706671.85</v>
      </c>
      <c r="E23" s="5" t="n">
        <v>16875446.71</v>
      </c>
      <c r="F23" s="5" t="n">
        <v>18979374.9</v>
      </c>
      <c r="G23" s="5" t="n">
        <v>20385471.39</v>
      </c>
      <c r="H23" s="5" t="n">
        <v>21276018.71</v>
      </c>
      <c r="I23" s="5" t="n">
        <v>21879977.39</v>
      </c>
      <c r="J23" s="5" t="n">
        <v>22289862.81</v>
      </c>
      <c r="K23" s="5" t="n">
        <v>22542518.79</v>
      </c>
      <c r="L23" s="5" t="n">
        <v>22710127.81</v>
      </c>
      <c r="M23" s="5" t="n">
        <v>22817528.38</v>
      </c>
      <c r="N23" s="5" t="n">
        <v>22885694.12</v>
      </c>
      <c r="O23" s="5" t="n">
        <v>22928270</v>
      </c>
      <c r="P23" s="5" t="n">
        <v>22956286.53</v>
      </c>
      <c r="Q23" s="5" t="n">
        <v>22972799.03</v>
      </c>
      <c r="R23" s="5" t="n">
        <v>22983833.23</v>
      </c>
      <c r="S23" s="5" t="n">
        <v>22990537.77</v>
      </c>
      <c r="T23" s="5" t="n">
        <v>22994862.44</v>
      </c>
      <c r="U23" s="5" t="n">
        <v>22997568.83</v>
      </c>
      <c r="V23" s="5" t="n">
        <v>22999135.42</v>
      </c>
      <c r="W23" s="5" t="n">
        <v>23000436.2</v>
      </c>
      <c r="X23" s="5" t="n">
        <v>23001194.91</v>
      </c>
      <c r="Y23" s="5" t="n">
        <v>23001649.55</v>
      </c>
    </row>
    <row r="24">
      <c r="A24" s="6" t="inlineStr">
        <is>
          <t>2024-11</t>
        </is>
      </c>
      <c r="B24" s="5" t="n">
        <v>3237868.64</v>
      </c>
      <c r="C24" s="5" t="n">
        <v>8900497.720000001</v>
      </c>
      <c r="D24" s="5" t="n">
        <v>13321459.28</v>
      </c>
      <c r="E24" s="5" t="n">
        <v>16496883.34</v>
      </c>
      <c r="F24" s="5" t="n">
        <v>18574339.64</v>
      </c>
      <c r="G24" s="5" t="n">
        <v>19959925.14</v>
      </c>
      <c r="H24" s="5" t="n">
        <v>20863975.05</v>
      </c>
      <c r="I24" s="5" t="n">
        <v>21453419.63</v>
      </c>
      <c r="J24" s="5" t="n">
        <v>21838020.12</v>
      </c>
      <c r="K24" s="5" t="n">
        <v>22089920.36</v>
      </c>
      <c r="L24" s="5" t="n">
        <v>22245356.16</v>
      </c>
      <c r="M24" s="5" t="n">
        <v>22346961.86</v>
      </c>
      <c r="N24" s="5" t="n">
        <v>22415921.22</v>
      </c>
      <c r="O24" s="5" t="n">
        <v>22455643.69</v>
      </c>
      <c r="P24" s="5" t="n">
        <v>22482804.4</v>
      </c>
      <c r="Q24" s="5" t="n">
        <v>22499286.22</v>
      </c>
      <c r="R24" s="5" t="n">
        <v>22509905.34</v>
      </c>
      <c r="S24" s="5" t="n">
        <v>22516604.43</v>
      </c>
      <c r="T24" s="5" t="n">
        <v>22520809.8</v>
      </c>
      <c r="U24" s="5" t="n">
        <v>22523261.75</v>
      </c>
      <c r="V24" s="5" t="n">
        <v>22525340.88</v>
      </c>
      <c r="W24" s="5" t="n">
        <v>22526431.18</v>
      </c>
      <c r="X24" s="5" t="n">
        <v>22527148.77</v>
      </c>
    </row>
    <row r="25">
      <c r="A25" s="6" t="inlineStr">
        <is>
          <t>2024-12</t>
        </is>
      </c>
      <c r="B25" s="5" t="n">
        <v>3473697.97</v>
      </c>
      <c r="C25" s="5" t="n">
        <v>9626924.560000001</v>
      </c>
      <c r="D25" s="5" t="n">
        <v>14185378.36</v>
      </c>
      <c r="E25" s="5" t="n">
        <v>17440837.62</v>
      </c>
      <c r="F25" s="5" t="n">
        <v>19779385.47</v>
      </c>
      <c r="G25" s="5" t="n">
        <v>21278425.65</v>
      </c>
      <c r="H25" s="5" t="n">
        <v>22251457.93</v>
      </c>
      <c r="I25" s="5" t="n">
        <v>22884692.99</v>
      </c>
      <c r="J25" s="5" t="n">
        <v>23284994.14</v>
      </c>
      <c r="K25" s="5" t="n">
        <v>23545909.36</v>
      </c>
      <c r="L25" s="5" t="n">
        <v>23708146.62</v>
      </c>
      <c r="M25" s="5" t="n">
        <v>23816916.75</v>
      </c>
      <c r="N25" s="5" t="n">
        <v>23884317.26</v>
      </c>
      <c r="O25" s="5" t="n">
        <v>23929990.9</v>
      </c>
      <c r="P25" s="5" t="n">
        <v>23956560.62</v>
      </c>
      <c r="Q25" s="5" t="n">
        <v>23974152.84</v>
      </c>
      <c r="R25" s="5" t="n">
        <v>23984847.49</v>
      </c>
      <c r="S25" s="5" t="n">
        <v>23992077.66</v>
      </c>
      <c r="T25" s="5" t="n">
        <v>23995979.73</v>
      </c>
      <c r="U25" s="5" t="n">
        <v>23999320.35</v>
      </c>
      <c r="V25" s="5" t="n">
        <v>24001055.97</v>
      </c>
      <c r="W25" s="5" t="n">
        <v>24002177.93</v>
      </c>
    </row>
    <row r="26">
      <c r="A26" s="6" t="inlineStr">
        <is>
          <t>2025-01</t>
        </is>
      </c>
      <c r="B26" s="5" t="n">
        <v>3227119.56</v>
      </c>
      <c r="C26" s="5" t="n">
        <v>9079173.59</v>
      </c>
      <c r="D26" s="5" t="n">
        <v>13335349.07</v>
      </c>
      <c r="E26" s="5" t="n">
        <v>16449771.27</v>
      </c>
      <c r="F26" s="5" t="n">
        <v>18692097.26</v>
      </c>
      <c r="G26" s="5" t="n">
        <v>20048582.06</v>
      </c>
      <c r="H26" s="5" t="n">
        <v>21006751.78</v>
      </c>
      <c r="I26" s="5" t="n">
        <v>21587602.37</v>
      </c>
      <c r="J26" s="5" t="n">
        <v>21957497.99</v>
      </c>
      <c r="K26" s="5" t="n">
        <v>22192544.24</v>
      </c>
      <c r="L26" s="5" t="n">
        <v>22346362.15</v>
      </c>
      <c r="M26" s="5" t="n">
        <v>22442380.25</v>
      </c>
      <c r="N26" s="5" t="n">
        <v>22506753.2</v>
      </c>
      <c r="O26" s="5" t="n">
        <v>22547044.54</v>
      </c>
      <c r="P26" s="5" t="n">
        <v>22572697.59</v>
      </c>
      <c r="Q26" s="5" t="n">
        <v>22589575.12</v>
      </c>
      <c r="R26" s="5" t="n">
        <v>22600073.59</v>
      </c>
      <c r="S26" s="5" t="n">
        <v>22605784.45</v>
      </c>
      <c r="T26" s="5" t="n">
        <v>22610646.1</v>
      </c>
      <c r="U26" s="5" t="n">
        <v>22613195.79</v>
      </c>
      <c r="V26" s="5" t="n">
        <v>22614794.12</v>
      </c>
    </row>
    <row r="27">
      <c r="A27" s="6" t="inlineStr">
        <is>
          <t>2025-02</t>
        </is>
      </c>
      <c r="B27" s="5" t="n">
        <v>2969490.74</v>
      </c>
      <c r="C27" s="5" t="n">
        <v>8688017.84</v>
      </c>
      <c r="D27" s="5" t="n">
        <v>12674289.85</v>
      </c>
      <c r="E27" s="5" t="n">
        <v>15636115.83</v>
      </c>
      <c r="F27" s="5" t="n">
        <v>17515322.76</v>
      </c>
      <c r="G27" s="5" t="n">
        <v>18824044.01</v>
      </c>
      <c r="H27" s="5" t="n">
        <v>19714970.38</v>
      </c>
      <c r="I27" s="5" t="n">
        <v>20281723.4</v>
      </c>
      <c r="J27" s="5" t="n">
        <v>20648522.68</v>
      </c>
      <c r="K27" s="5" t="n">
        <v>20874873.66</v>
      </c>
      <c r="L27" s="5" t="n">
        <v>21018148.85</v>
      </c>
      <c r="M27" s="5" t="n">
        <v>21110923.65</v>
      </c>
      <c r="N27" s="5" t="n">
        <v>21170040.4</v>
      </c>
      <c r="O27" s="5" t="n">
        <v>21207328</v>
      </c>
      <c r="P27" s="5" t="n">
        <v>21231282.29</v>
      </c>
      <c r="Q27" s="5" t="n">
        <v>21245806.15</v>
      </c>
      <c r="R27" s="5" t="n">
        <v>21254121.23</v>
      </c>
      <c r="S27" s="5" t="n">
        <v>21261223.33</v>
      </c>
      <c r="T27" s="5" t="n">
        <v>21264993.71</v>
      </c>
      <c r="U27" s="5" t="n">
        <v>21267309.68</v>
      </c>
    </row>
    <row r="28">
      <c r="A28" s="6" t="inlineStr">
        <is>
          <t>2025-03</t>
        </is>
      </c>
      <c r="B28" s="5" t="n">
        <v>3019875.61</v>
      </c>
      <c r="C28" s="5" t="n">
        <v>8344612.5</v>
      </c>
      <c r="D28" s="5" t="n">
        <v>12575652.41</v>
      </c>
      <c r="E28" s="5" t="n">
        <v>15634405.81</v>
      </c>
      <c r="F28" s="5" t="n">
        <v>17594444.32</v>
      </c>
      <c r="G28" s="5" t="n">
        <v>18953807.69</v>
      </c>
      <c r="H28" s="5" t="n">
        <v>19844792.89</v>
      </c>
      <c r="I28" s="5" t="n">
        <v>20374177.01</v>
      </c>
      <c r="J28" s="5" t="n">
        <v>20732291.73</v>
      </c>
      <c r="K28" s="5" t="n">
        <v>20977759.23</v>
      </c>
      <c r="L28" s="5" t="n">
        <v>21119114.32</v>
      </c>
      <c r="M28" s="5" t="n">
        <v>21211247.47</v>
      </c>
      <c r="N28" s="5" t="n">
        <v>21270776.01</v>
      </c>
      <c r="O28" s="5" t="n">
        <v>21309669.46</v>
      </c>
      <c r="P28" s="5" t="n">
        <v>21333405.06</v>
      </c>
      <c r="Q28" s="5" t="n">
        <v>21346723.37</v>
      </c>
      <c r="R28" s="5" t="n">
        <v>21358227.15</v>
      </c>
      <c r="S28" s="5" t="n">
        <v>21364275.75</v>
      </c>
      <c r="T28" s="5" t="n">
        <v>21368088.39</v>
      </c>
    </row>
    <row r="29">
      <c r="A29" s="6" t="inlineStr">
        <is>
          <t>2025-04</t>
        </is>
      </c>
      <c r="B29" s="5" t="n">
        <v>3528729.54</v>
      </c>
      <c r="C29" s="5" t="n">
        <v>9328168.529999999</v>
      </c>
      <c r="D29" s="5" t="n">
        <v>13809156.06</v>
      </c>
      <c r="E29" s="5" t="n">
        <v>17066464.1</v>
      </c>
      <c r="F29" s="5" t="n">
        <v>19158585.58</v>
      </c>
      <c r="G29" s="5" t="n">
        <v>20535846.99</v>
      </c>
      <c r="H29" s="5" t="n">
        <v>21461068.44</v>
      </c>
      <c r="I29" s="5" t="n">
        <v>22022484.92</v>
      </c>
      <c r="J29" s="5" t="n">
        <v>22405804.38</v>
      </c>
      <c r="K29" s="5" t="n">
        <v>22657819.59</v>
      </c>
      <c r="L29" s="5" t="n">
        <v>22817063.84</v>
      </c>
      <c r="M29" s="5" t="n">
        <v>22910578.39</v>
      </c>
      <c r="N29" s="5" t="n">
        <v>22970974.64</v>
      </c>
      <c r="O29" s="5" t="n">
        <v>23011095.66</v>
      </c>
      <c r="P29" s="5" t="n">
        <v>23032838.27</v>
      </c>
      <c r="Q29" s="5" t="n">
        <v>23051867.01</v>
      </c>
      <c r="R29" s="5" t="n">
        <v>23062308.57</v>
      </c>
      <c r="S29" s="5" t="n">
        <v>23068651.73</v>
      </c>
    </row>
    <row r="30">
      <c r="A30" s="6" t="inlineStr">
        <is>
          <t>2025-05</t>
        </is>
      </c>
      <c r="B30" s="5" t="n">
        <v>3275776.88</v>
      </c>
      <c r="C30" s="5" t="n">
        <v>9253777.08</v>
      </c>
      <c r="D30" s="5" t="n">
        <v>13701090.38</v>
      </c>
      <c r="E30" s="5" t="n">
        <v>16941083.55</v>
      </c>
      <c r="F30" s="5" t="n">
        <v>19063974.07</v>
      </c>
      <c r="G30" s="5" t="n">
        <v>20470184.01</v>
      </c>
      <c r="H30" s="5" t="n">
        <v>21401098.28</v>
      </c>
      <c r="I30" s="5" t="n">
        <v>22002550.97</v>
      </c>
      <c r="J30" s="5" t="n">
        <v>22371443.93</v>
      </c>
      <c r="K30" s="5" t="n">
        <v>22623591.94</v>
      </c>
      <c r="L30" s="5" t="n">
        <v>22778323.92</v>
      </c>
      <c r="M30" s="5" t="n">
        <v>22876142.94</v>
      </c>
      <c r="N30" s="5" t="n">
        <v>22939205.15</v>
      </c>
      <c r="O30" s="5" t="n">
        <v>22973306.13</v>
      </c>
      <c r="P30" s="5" t="n">
        <v>23001213.69</v>
      </c>
      <c r="Q30" s="5" t="n">
        <v>23016029.62</v>
      </c>
      <c r="R30" s="5" t="n">
        <v>23026182.43</v>
      </c>
    </row>
    <row r="31">
      <c r="A31" s="6" t="inlineStr">
        <is>
          <t>2025-06</t>
        </is>
      </c>
      <c r="B31" s="5" t="n">
        <v>3517443.88</v>
      </c>
      <c r="C31" s="5" t="n">
        <v>9920730.359999999</v>
      </c>
      <c r="D31" s="5" t="n">
        <v>14314059.87</v>
      </c>
      <c r="E31" s="5" t="n">
        <v>17501467.01</v>
      </c>
      <c r="F31" s="5" t="n">
        <v>19549386.99</v>
      </c>
      <c r="G31" s="5" t="n">
        <v>21007382.29</v>
      </c>
      <c r="H31" s="5" t="n">
        <v>21946285.7</v>
      </c>
      <c r="I31" s="5" t="n">
        <v>22557093.51</v>
      </c>
      <c r="J31" s="5" t="n">
        <v>22965556.4</v>
      </c>
      <c r="K31" s="5" t="n">
        <v>23212980.76</v>
      </c>
      <c r="L31" s="5" t="n">
        <v>23363545.01</v>
      </c>
      <c r="M31" s="5" t="n">
        <v>23463726.96</v>
      </c>
      <c r="N31" s="5" t="n">
        <v>23519468.23</v>
      </c>
      <c r="O31" s="5" t="n">
        <v>23566595.75</v>
      </c>
      <c r="P31" s="5" t="n">
        <v>23590299.6</v>
      </c>
      <c r="Q31" s="5" t="n">
        <v>23605034.49</v>
      </c>
    </row>
    <row r="32">
      <c r="A32" s="6" t="inlineStr">
        <is>
          <t>2025-07</t>
        </is>
      </c>
      <c r="B32" s="5" t="n">
        <v>3356398.24</v>
      </c>
      <c r="C32" s="5" t="n">
        <v>9393397.34</v>
      </c>
      <c r="D32" s="5" t="n">
        <v>13786555.15</v>
      </c>
      <c r="E32" s="5" t="n">
        <v>16786350.54</v>
      </c>
      <c r="F32" s="5" t="n">
        <v>18847536.84</v>
      </c>
      <c r="G32" s="5" t="n">
        <v>20340118.28</v>
      </c>
      <c r="H32" s="5" t="n">
        <v>21214886.87</v>
      </c>
      <c r="I32" s="5" t="n">
        <v>21795223.43</v>
      </c>
      <c r="J32" s="5" t="n">
        <v>22192546.18</v>
      </c>
      <c r="K32" s="5" t="n">
        <v>22425909.94</v>
      </c>
      <c r="L32" s="5" t="n">
        <v>22578458.69</v>
      </c>
      <c r="M32" s="5" t="n">
        <v>22661568.32</v>
      </c>
      <c r="N32" s="5" t="n">
        <v>22735787.02</v>
      </c>
      <c r="O32" s="5" t="n">
        <v>22774370.65</v>
      </c>
      <c r="P32" s="5" t="n">
        <v>22797931.69</v>
      </c>
    </row>
    <row r="33">
      <c r="A33" s="6" t="inlineStr">
        <is>
          <t>2025-08</t>
        </is>
      </c>
      <c r="B33" s="5" t="n">
        <v>3141229.61</v>
      </c>
      <c r="C33" s="5" t="n">
        <v>8813975.060000001</v>
      </c>
      <c r="D33" s="5" t="n">
        <v>13205570.22</v>
      </c>
      <c r="E33" s="5" t="n">
        <v>16330444.24</v>
      </c>
      <c r="F33" s="5" t="n">
        <v>18287202.38</v>
      </c>
      <c r="G33" s="5" t="n">
        <v>19633209.04</v>
      </c>
      <c r="H33" s="5" t="n">
        <v>20502647</v>
      </c>
      <c r="I33" s="5" t="n">
        <v>21012779.53</v>
      </c>
      <c r="J33" s="5" t="n">
        <v>21360618.96</v>
      </c>
      <c r="K33" s="5" t="n">
        <v>21590674.28</v>
      </c>
      <c r="L33" s="5" t="n">
        <v>21716376.07</v>
      </c>
      <c r="M33" s="5" t="n">
        <v>21826043.48</v>
      </c>
      <c r="N33" s="5" t="n">
        <v>21882253.82</v>
      </c>
      <c r="O33" s="5" t="n">
        <v>21918180.25</v>
      </c>
    </row>
    <row r="34">
      <c r="A34" s="6" t="inlineStr">
        <is>
          <t>2025-09</t>
        </is>
      </c>
      <c r="B34" s="5" t="n">
        <v>3412715.36</v>
      </c>
      <c r="C34" s="5" t="n">
        <v>10059927.34</v>
      </c>
      <c r="D34" s="5" t="n">
        <v>14571998.65</v>
      </c>
      <c r="E34" s="5" t="n">
        <v>17791378.65</v>
      </c>
      <c r="F34" s="5" t="n">
        <v>19948524.6</v>
      </c>
      <c r="G34" s="5" t="n">
        <v>21372245.12</v>
      </c>
      <c r="H34" s="5" t="n">
        <v>22290307.6</v>
      </c>
      <c r="I34" s="5" t="n">
        <v>22881516.16</v>
      </c>
      <c r="J34" s="5" t="n">
        <v>23249982.96</v>
      </c>
      <c r="K34" s="5" t="n">
        <v>23452087.37</v>
      </c>
      <c r="L34" s="5" t="n">
        <v>23625426.76</v>
      </c>
      <c r="M34" s="5" t="n">
        <v>23717346.04</v>
      </c>
      <c r="N34" s="5" t="n">
        <v>23777836.81</v>
      </c>
    </row>
    <row r="35">
      <c r="A35" s="6" t="inlineStr">
        <is>
          <t>2025-10</t>
        </is>
      </c>
      <c r="B35" s="5" t="n">
        <v>3830933.82</v>
      </c>
      <c r="C35" s="5" t="n">
        <v>10614909.71</v>
      </c>
      <c r="D35" s="5" t="n">
        <v>15586167.01</v>
      </c>
      <c r="E35" s="5" t="n">
        <v>18972141.42</v>
      </c>
      <c r="F35" s="5" t="n">
        <v>21405303.56</v>
      </c>
      <c r="G35" s="5" t="n">
        <v>22894622.26</v>
      </c>
      <c r="H35" s="5" t="n">
        <v>23883567.56</v>
      </c>
      <c r="I35" s="5" t="n">
        <v>24521336.96</v>
      </c>
      <c r="J35" s="5" t="n">
        <v>24851095.89</v>
      </c>
      <c r="K35" s="5" t="n">
        <v>25143650.23</v>
      </c>
      <c r="L35" s="5" t="n">
        <v>25310531.7</v>
      </c>
      <c r="M35" s="5" t="n">
        <v>25410117.01</v>
      </c>
    </row>
    <row r="36">
      <c r="A36" s="6" t="inlineStr">
        <is>
          <t>2025-11</t>
        </is>
      </c>
      <c r="B36" s="5" t="n">
        <v>3868183.45</v>
      </c>
      <c r="C36" s="5" t="n">
        <v>10995690.43</v>
      </c>
      <c r="D36" s="5" t="n">
        <v>16000477.52</v>
      </c>
      <c r="E36" s="5" t="n">
        <v>19255824.57</v>
      </c>
      <c r="F36" s="5" t="n">
        <v>21529366.76</v>
      </c>
      <c r="G36" s="5" t="n">
        <v>23053045.89</v>
      </c>
      <c r="H36" s="5" t="n">
        <v>24035263.43</v>
      </c>
      <c r="I36" s="5" t="n">
        <v>24578329.81</v>
      </c>
      <c r="J36" s="5" t="n">
        <v>25042422.88</v>
      </c>
      <c r="K36" s="5" t="n">
        <v>25295194.29</v>
      </c>
      <c r="L36" s="5" t="n">
        <v>25449716.51</v>
      </c>
    </row>
    <row r="37">
      <c r="A37" s="6" t="inlineStr">
        <is>
          <t>2025-12</t>
        </is>
      </c>
      <c r="B37" s="5" t="n">
        <v>4082932.61</v>
      </c>
      <c r="C37" s="5" t="n">
        <v>11258057.16</v>
      </c>
      <c r="D37" s="5" t="n">
        <v>16391565.76</v>
      </c>
      <c r="E37" s="5" t="n">
        <v>20002411.21</v>
      </c>
      <c r="F37" s="5" t="n">
        <v>22579644.05</v>
      </c>
      <c r="G37" s="5" t="n">
        <v>24196385.6</v>
      </c>
      <c r="H37" s="5" t="n">
        <v>25106292.56</v>
      </c>
      <c r="I37" s="5" t="n">
        <v>25906602.91</v>
      </c>
      <c r="J37" s="5" t="n">
        <v>26331105.12</v>
      </c>
      <c r="K37" s="5" t="n">
        <v>26592484.55</v>
      </c>
    </row>
    <row r="38">
      <c r="A38" s="6" t="inlineStr">
        <is>
          <t>2026-01</t>
        </is>
      </c>
      <c r="B38" s="5" t="n">
        <v>3551488.79</v>
      </c>
      <c r="C38" s="5" t="n">
        <v>9742748.720000001</v>
      </c>
      <c r="D38" s="5" t="n">
        <v>14225638.34</v>
      </c>
      <c r="E38" s="5" t="n">
        <v>17333405.08</v>
      </c>
      <c r="F38" s="5" t="n">
        <v>19491103.02</v>
      </c>
      <c r="G38" s="5" t="n">
        <v>20639483.39</v>
      </c>
      <c r="H38" s="5" t="n">
        <v>21688922.98</v>
      </c>
      <c r="I38" s="5" t="n">
        <v>22242262.56</v>
      </c>
      <c r="J38" s="5" t="n">
        <v>22605862.68</v>
      </c>
    </row>
    <row r="39">
      <c r="A39" s="6" t="inlineStr">
        <is>
          <t>2026-02</t>
        </is>
      </c>
      <c r="B39" s="5" t="n">
        <v>3832070.68</v>
      </c>
      <c r="C39" s="5" t="n">
        <v>10502601.73</v>
      </c>
      <c r="D39" s="5" t="n">
        <v>15340846.51</v>
      </c>
      <c r="E39" s="5" t="n">
        <v>18769409.89</v>
      </c>
      <c r="F39" s="5" t="n">
        <v>20820173.92</v>
      </c>
      <c r="G39" s="5" t="n">
        <v>22515090.71</v>
      </c>
      <c r="H39" s="5" t="n">
        <v>23485931.1</v>
      </c>
      <c r="I39" s="5" t="n">
        <v>24061764.09</v>
      </c>
    </row>
    <row r="40">
      <c r="A40" s="6" t="inlineStr">
        <is>
          <t>2026-03</t>
        </is>
      </c>
      <c r="B40" s="5" t="n">
        <v>3702489.93</v>
      </c>
      <c r="C40" s="5" t="n">
        <v>10162880.02</v>
      </c>
      <c r="D40" s="5" t="n">
        <v>14908747.1</v>
      </c>
      <c r="E40" s="5" t="n">
        <v>17992733.97</v>
      </c>
      <c r="F40" s="5" t="n">
        <v>20598786.33</v>
      </c>
      <c r="G40" s="5" t="n">
        <v>22119629.4</v>
      </c>
      <c r="H40" s="5" t="n">
        <v>23041091.12</v>
      </c>
    </row>
    <row r="41">
      <c r="A41" s="6" t="inlineStr">
        <is>
          <t>2026-04</t>
        </is>
      </c>
      <c r="B41" s="5" t="n">
        <v>3838325.39</v>
      </c>
      <c r="C41" s="5" t="n">
        <v>10835503.73</v>
      </c>
      <c r="D41" s="5" t="n">
        <v>15477125.44</v>
      </c>
      <c r="E41" s="5" t="n">
        <v>19787944.16</v>
      </c>
      <c r="F41" s="5" t="n">
        <v>22126013.45</v>
      </c>
      <c r="G41" s="5" t="n">
        <v>23607892.17</v>
      </c>
    </row>
    <row r="42">
      <c r="A42" s="6" t="inlineStr">
        <is>
          <t>2026-05</t>
        </is>
      </c>
      <c r="B42" s="5" t="n">
        <v>3970159.98</v>
      </c>
      <c r="C42" s="5" t="n">
        <v>9681927.15</v>
      </c>
      <c r="D42" s="5" t="n">
        <v>15637619.21</v>
      </c>
      <c r="E42" s="5" t="n">
        <v>19018235.51</v>
      </c>
      <c r="F42" s="5" t="n">
        <v>21410488.85</v>
      </c>
    </row>
    <row r="43">
      <c r="A43" s="6" t="inlineStr">
        <is>
          <t>2026-06</t>
        </is>
      </c>
      <c r="B43" s="5" t="n">
        <v>3402671.72</v>
      </c>
      <c r="C43" s="5" t="n">
        <v>10465419.61</v>
      </c>
      <c r="D43" s="5" t="n">
        <v>15419052.93</v>
      </c>
      <c r="E43" s="5" t="n">
        <v>18745121.07</v>
      </c>
    </row>
    <row r="44">
      <c r="A44" s="6" t="inlineStr">
        <is>
          <t>2026-07</t>
        </is>
      </c>
      <c r="B44" s="5" t="n">
        <v>3941532.99</v>
      </c>
      <c r="C44" s="5" t="n">
        <v>10626125.87</v>
      </c>
      <c r="D44" s="5" t="n">
        <v>15698560.42</v>
      </c>
    </row>
    <row r="45">
      <c r="A45" s="6" t="inlineStr">
        <is>
          <t>2026-08</t>
        </is>
      </c>
      <c r="B45" s="5" t="n">
        <v>4301101.57</v>
      </c>
      <c r="C45" s="5" t="n">
        <v>12076533.86</v>
      </c>
    </row>
    <row r="46">
      <c r="A46" s="6" t="inlineStr">
        <is>
          <t>2026-09</t>
        </is>
      </c>
      <c r="B46" s="5" t="n">
        <v>3880709.6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Incurred</t>
        </is>
      </c>
      <c r="B1" s="3" t="inlineStr">
        <is>
          <t>0-1</t>
        </is>
      </c>
      <c r="C1" s="3" t="inlineStr">
        <is>
          <t>1-2</t>
        </is>
      </c>
      <c r="D1" s="3" t="inlineStr">
        <is>
          <t>2-3</t>
        </is>
      </c>
      <c r="E1" s="3" t="inlineStr">
        <is>
          <t>3-4</t>
        </is>
      </c>
      <c r="F1" s="3" t="inlineStr">
        <is>
          <t>4-5</t>
        </is>
      </c>
      <c r="G1" s="3" t="inlineStr">
        <is>
          <t>5-6</t>
        </is>
      </c>
      <c r="H1" s="3" t="inlineStr">
        <is>
          <t>6-7</t>
        </is>
      </c>
      <c r="I1" s="3" t="inlineStr">
        <is>
          <t>7-8</t>
        </is>
      </c>
      <c r="J1" s="3" t="inlineStr">
        <is>
          <t>8-9</t>
        </is>
      </c>
      <c r="K1" s="3" t="inlineStr">
        <is>
          <t>9-10</t>
        </is>
      </c>
      <c r="L1" s="3" t="inlineStr">
        <is>
          <t>10-11</t>
        </is>
      </c>
      <c r="M1" s="3" t="inlineStr">
        <is>
          <t>11-12</t>
        </is>
      </c>
      <c r="N1" s="3" t="inlineStr">
        <is>
          <t>12-13</t>
        </is>
      </c>
      <c r="O1" s="3" t="inlineStr">
        <is>
          <t>13-14</t>
        </is>
      </c>
      <c r="P1" s="3" t="inlineStr">
        <is>
          <t>14-15</t>
        </is>
      </c>
      <c r="Q1" s="3" t="inlineStr">
        <is>
          <t>15-16</t>
        </is>
      </c>
      <c r="R1" s="3" t="inlineStr">
        <is>
          <t>16-17</t>
        </is>
      </c>
      <c r="S1" s="3" t="inlineStr">
        <is>
          <t>17-18</t>
        </is>
      </c>
      <c r="T1" s="3" t="inlineStr">
        <is>
          <t>18-19</t>
        </is>
      </c>
      <c r="U1" s="3" t="inlineStr">
        <is>
          <t>19-20</t>
        </is>
      </c>
      <c r="V1" s="3" t="inlineStr">
        <is>
          <t>20-21</t>
        </is>
      </c>
      <c r="W1" s="3" t="inlineStr">
        <is>
          <t>21-22</t>
        </is>
      </c>
      <c r="X1" s="3" t="inlineStr">
        <is>
          <t>22-23</t>
        </is>
      </c>
      <c r="Y1" s="3" t="inlineStr">
        <is>
          <t>23-24</t>
        </is>
      </c>
      <c r="Z1" s="3" t="inlineStr">
        <is>
          <t>24-25</t>
        </is>
      </c>
      <c r="AA1" s="3" t="inlineStr">
        <is>
          <t>25-26</t>
        </is>
      </c>
      <c r="AB1" s="3" t="inlineStr">
        <is>
          <t>26-27</t>
        </is>
      </c>
      <c r="AC1" s="3" t="inlineStr">
        <is>
          <t>27-28</t>
        </is>
      </c>
      <c r="AD1" s="3" t="inlineStr">
        <is>
          <t>28-29</t>
        </is>
      </c>
      <c r="AE1" s="3" t="inlineStr">
        <is>
          <t>29-30</t>
        </is>
      </c>
      <c r="AF1" s="3" t="inlineStr">
        <is>
          <t>30-31</t>
        </is>
      </c>
      <c r="AG1" s="3" t="inlineStr">
        <is>
          <t>31-32</t>
        </is>
      </c>
      <c r="AH1" s="3" t="inlineStr">
        <is>
          <t>32-33</t>
        </is>
      </c>
      <c r="AI1" s="3" t="inlineStr">
        <is>
          <t>33-34</t>
        </is>
      </c>
      <c r="AJ1" s="3" t="inlineStr">
        <is>
          <t>34-35</t>
        </is>
      </c>
      <c r="AK1" s="3" t="inlineStr">
        <is>
          <t>35-36</t>
        </is>
      </c>
      <c r="AL1" s="3" t="inlineStr">
        <is>
          <t>36-37</t>
        </is>
      </c>
      <c r="AM1" s="3" t="inlineStr">
        <is>
          <t>37-38</t>
        </is>
      </c>
      <c r="AN1" s="3" t="inlineStr">
        <is>
          <t>38-39</t>
        </is>
      </c>
      <c r="AO1" s="3" t="inlineStr">
        <is>
          <t>39-40</t>
        </is>
      </c>
      <c r="AP1" s="3" t="inlineStr">
        <is>
          <t>40-41</t>
        </is>
      </c>
      <c r="AQ1" s="3" t="inlineStr">
        <is>
          <t>41-42</t>
        </is>
      </c>
      <c r="AR1" s="3" t="inlineStr">
        <is>
          <t>42-43</t>
        </is>
      </c>
      <c r="AS1" s="3" t="inlineStr">
        <is>
          <t>43-44</t>
        </is>
      </c>
    </row>
    <row r="2">
      <c r="A2" s="6" t="inlineStr">
        <is>
          <t>2023-01</t>
        </is>
      </c>
      <c r="B2" s="10">
        <f>IF('IP Triangle'!B2&gt;0,'IP Triangle'!C2/'IP Triangle'!B2,"")</f>
        <v/>
      </c>
      <c r="C2" s="10">
        <f>IF('IP Triangle'!C2&gt;0,'IP Triangle'!D2/'IP Triangle'!C2,"")</f>
        <v/>
      </c>
      <c r="D2" s="10">
        <f>IF('IP Triangle'!D2&gt;0,'IP Triangle'!E2/'IP Triangle'!D2,"")</f>
        <v/>
      </c>
      <c r="E2" s="10">
        <f>IF('IP Triangle'!E2&gt;0,'IP Triangle'!F2/'IP Triangle'!E2,"")</f>
        <v/>
      </c>
      <c r="F2" s="10">
        <f>IF('IP Triangle'!F2&gt;0,'IP Triangle'!G2/'IP Triangle'!F2,"")</f>
        <v/>
      </c>
      <c r="G2" s="10">
        <f>IF('IP Triangle'!G2&gt;0,'IP Triangle'!H2/'IP Triangle'!G2,"")</f>
        <v/>
      </c>
      <c r="H2" s="10">
        <f>IF('IP Triangle'!H2&gt;0,'IP Triangle'!I2/'IP Triangle'!H2,"")</f>
        <v/>
      </c>
      <c r="I2" s="10">
        <f>IF('IP Triangle'!I2&gt;0,'IP Triangle'!J2/'IP Triangle'!I2,"")</f>
        <v/>
      </c>
      <c r="J2" s="10">
        <f>IF('IP Triangle'!J2&gt;0,'IP Triangle'!K2/'IP Triangle'!J2,"")</f>
        <v/>
      </c>
      <c r="K2" s="10">
        <f>IF('IP Triangle'!K2&gt;0,'IP Triangle'!L2/'IP Triangle'!K2,"")</f>
        <v/>
      </c>
      <c r="L2" s="10">
        <f>IF('IP Triangle'!L2&gt;0,'IP Triangle'!M2/'IP Triangle'!L2,"")</f>
        <v/>
      </c>
      <c r="M2" s="10">
        <f>IF('IP Triangle'!M2&gt;0,'IP Triangle'!N2/'IP Triangle'!M2,"")</f>
        <v/>
      </c>
      <c r="N2" s="10">
        <f>IF('IP Triangle'!N2&gt;0,'IP Triangle'!O2/'IP Triangle'!N2,"")</f>
        <v/>
      </c>
      <c r="O2" s="10">
        <f>IF('IP Triangle'!O2&gt;0,'IP Triangle'!P2/'IP Triangle'!O2,"")</f>
        <v/>
      </c>
      <c r="P2" s="10">
        <f>IF('IP Triangle'!P2&gt;0,'IP Triangle'!Q2/'IP Triangle'!P2,"")</f>
        <v/>
      </c>
      <c r="Q2" s="10">
        <f>IF('IP Triangle'!Q2&gt;0,'IP Triangle'!R2/'IP Triangle'!Q2,"")</f>
        <v/>
      </c>
      <c r="R2" s="10">
        <f>IF('IP Triangle'!R2&gt;0,'IP Triangle'!S2/'IP Triangle'!R2,"")</f>
        <v/>
      </c>
      <c r="S2" s="10">
        <f>IF('IP Triangle'!S2&gt;0,'IP Triangle'!T2/'IP Triangle'!S2,"")</f>
        <v/>
      </c>
      <c r="T2" s="10">
        <f>IF('IP Triangle'!T2&gt;0,'IP Triangle'!U2/'IP Triangle'!T2,"")</f>
        <v/>
      </c>
      <c r="U2" s="10">
        <f>IF('IP Triangle'!U2&gt;0,'IP Triangle'!V2/'IP Triangle'!U2,"")</f>
        <v/>
      </c>
      <c r="V2" s="10">
        <f>IF('IP Triangle'!V2&gt;0,'IP Triangle'!W2/'IP Triangle'!V2,"")</f>
        <v/>
      </c>
      <c r="W2" s="10">
        <f>IF('IP Triangle'!W2&gt;0,'IP Triangle'!X2/'IP Triangle'!W2,"")</f>
        <v/>
      </c>
      <c r="X2" s="10">
        <f>IF('IP Triangle'!X2&gt;0,'IP Triangle'!Y2/'IP Triangle'!X2,"")</f>
        <v/>
      </c>
      <c r="Y2" s="10">
        <f>IF('IP Triangle'!Y2&gt;0,'IP Triangle'!Z2/'IP Triangle'!Y2,"")</f>
        <v/>
      </c>
      <c r="Z2" s="10">
        <f>IF('IP Triangle'!Z2&gt;0,'IP Triangle'!AA2/'IP Triangle'!Z2,"")</f>
        <v/>
      </c>
      <c r="AA2" s="10">
        <f>IF('IP Triangle'!AA2&gt;0,'IP Triangle'!AB2/'IP Triangle'!AA2,"")</f>
        <v/>
      </c>
      <c r="AB2" s="10">
        <f>IF('IP Triangle'!AB2&gt;0,'IP Triangle'!AC2/'IP Triangle'!AB2,"")</f>
        <v/>
      </c>
      <c r="AC2" s="10">
        <f>IF('IP Triangle'!AC2&gt;0,'IP Triangle'!AD2/'IP Triangle'!AC2,"")</f>
        <v/>
      </c>
      <c r="AD2" s="10">
        <f>IF('IP Triangle'!AD2&gt;0,'IP Triangle'!AE2/'IP Triangle'!AD2,"")</f>
        <v/>
      </c>
      <c r="AE2" s="10">
        <f>IF('IP Triangle'!AE2&gt;0,'IP Triangle'!AF2/'IP Triangle'!AE2,"")</f>
        <v/>
      </c>
      <c r="AF2" s="10">
        <f>IF('IP Triangle'!AF2&gt;0,'IP Triangle'!AG2/'IP Triangle'!AF2,"")</f>
        <v/>
      </c>
      <c r="AG2" s="10">
        <f>IF('IP Triangle'!AG2&gt;0,'IP Triangle'!AH2/'IP Triangle'!AG2,"")</f>
        <v/>
      </c>
      <c r="AH2" s="10">
        <f>IF('IP Triangle'!AH2&gt;0,'IP Triangle'!AI2/'IP Triangle'!AH2,"")</f>
        <v/>
      </c>
      <c r="AI2" s="10">
        <f>IF('IP Triangle'!AI2&gt;0,'IP Triangle'!AJ2/'IP Triangle'!AI2,"")</f>
        <v/>
      </c>
      <c r="AJ2" s="10">
        <f>IF('IP Triangle'!AJ2&gt;0,'IP Triangle'!AK2/'IP Triangle'!AJ2,"")</f>
        <v/>
      </c>
      <c r="AK2" s="10">
        <f>IF('IP Triangle'!AK2&gt;0,'IP Triangle'!AL2/'IP Triangle'!AK2,"")</f>
        <v/>
      </c>
      <c r="AL2" s="10">
        <f>IF('IP Triangle'!AL2&gt;0,'IP Triangle'!AM2/'IP Triangle'!AL2,"")</f>
        <v/>
      </c>
      <c r="AM2" s="10">
        <f>IF('IP Triangle'!AM2&gt;0,'IP Triangle'!AN2/'IP Triangle'!AM2,"")</f>
        <v/>
      </c>
      <c r="AN2" s="10">
        <f>IF('IP Triangle'!AN2&gt;0,'IP Triangle'!AO2/'IP Triangle'!AN2,"")</f>
        <v/>
      </c>
      <c r="AO2" s="10">
        <f>IF('IP Triangle'!AO2&gt;0,'IP Triangle'!AP2/'IP Triangle'!AO2,"")</f>
        <v/>
      </c>
      <c r="AP2" s="11">
        <f>IF('IP Triangle'!AP2&gt;0,'IP Triangle'!AQ2/'IP Triangle'!AP2,"")</f>
        <v/>
      </c>
      <c r="AQ2" s="11">
        <f>IF('IP Triangle'!AQ2&gt;0,'IP Triangle'!AR2/'IP Triangle'!AQ2,"")</f>
        <v/>
      </c>
      <c r="AR2" s="10">
        <f>IF('IP Triangle'!AR2&gt;0,'IP Triangle'!AS2/'IP Triangle'!AR2,"")</f>
        <v/>
      </c>
      <c r="AS2" s="10">
        <f>IF('IP Triangle'!AS2&gt;0,'IP Triangle'!AT2/'IP Triangle'!AS2,"")</f>
        <v/>
      </c>
    </row>
    <row r="3">
      <c r="A3" s="6" t="inlineStr">
        <is>
          <t>2023-02</t>
        </is>
      </c>
      <c r="B3" s="10">
        <f>IF('IP Triangle'!B3&gt;0,'IP Triangle'!C3/'IP Triangle'!B3,"")</f>
        <v/>
      </c>
      <c r="C3" s="10">
        <f>IF('IP Triangle'!C3&gt;0,'IP Triangle'!D3/'IP Triangle'!C3,"")</f>
        <v/>
      </c>
      <c r="D3" s="10">
        <f>IF('IP Triangle'!D3&gt;0,'IP Triangle'!E3/'IP Triangle'!D3,"")</f>
        <v/>
      </c>
      <c r="E3" s="10">
        <f>IF('IP Triangle'!E3&gt;0,'IP Triangle'!F3/'IP Triangle'!E3,"")</f>
        <v/>
      </c>
      <c r="F3" s="10">
        <f>IF('IP Triangle'!F3&gt;0,'IP Triangle'!G3/'IP Triangle'!F3,"")</f>
        <v/>
      </c>
      <c r="G3" s="10">
        <f>IF('IP Triangle'!G3&gt;0,'IP Triangle'!H3/'IP Triangle'!G3,"")</f>
        <v/>
      </c>
      <c r="H3" s="10">
        <f>IF('IP Triangle'!H3&gt;0,'IP Triangle'!I3/'IP Triangle'!H3,"")</f>
        <v/>
      </c>
      <c r="I3" s="10">
        <f>IF('IP Triangle'!I3&gt;0,'IP Triangle'!J3/'IP Triangle'!I3,"")</f>
        <v/>
      </c>
      <c r="J3" s="10">
        <f>IF('IP Triangle'!J3&gt;0,'IP Triangle'!K3/'IP Triangle'!J3,"")</f>
        <v/>
      </c>
      <c r="K3" s="10">
        <f>IF('IP Triangle'!K3&gt;0,'IP Triangle'!L3/'IP Triangle'!K3,"")</f>
        <v/>
      </c>
      <c r="L3" s="10">
        <f>IF('IP Triangle'!L3&gt;0,'IP Triangle'!M3/'IP Triangle'!L3,"")</f>
        <v/>
      </c>
      <c r="M3" s="10">
        <f>IF('IP Triangle'!M3&gt;0,'IP Triangle'!N3/'IP Triangle'!M3,"")</f>
        <v/>
      </c>
      <c r="N3" s="10">
        <f>IF('IP Triangle'!N3&gt;0,'IP Triangle'!O3/'IP Triangle'!N3,"")</f>
        <v/>
      </c>
      <c r="O3" s="10">
        <f>IF('IP Triangle'!O3&gt;0,'IP Triangle'!P3/'IP Triangle'!O3,"")</f>
        <v/>
      </c>
      <c r="P3" s="10">
        <f>IF('IP Triangle'!P3&gt;0,'IP Triangle'!Q3/'IP Triangle'!P3,"")</f>
        <v/>
      </c>
      <c r="Q3" s="10">
        <f>IF('IP Triangle'!Q3&gt;0,'IP Triangle'!R3/'IP Triangle'!Q3,"")</f>
        <v/>
      </c>
      <c r="R3" s="10">
        <f>IF('IP Triangle'!R3&gt;0,'IP Triangle'!S3/'IP Triangle'!R3,"")</f>
        <v/>
      </c>
      <c r="S3" s="10">
        <f>IF('IP Triangle'!S3&gt;0,'IP Triangle'!T3/'IP Triangle'!S3,"")</f>
        <v/>
      </c>
      <c r="T3" s="10">
        <f>IF('IP Triangle'!T3&gt;0,'IP Triangle'!U3/'IP Triangle'!T3,"")</f>
        <v/>
      </c>
      <c r="U3" s="10">
        <f>IF('IP Triangle'!U3&gt;0,'IP Triangle'!V3/'IP Triangle'!U3,"")</f>
        <v/>
      </c>
      <c r="V3" s="10">
        <f>IF('IP Triangle'!V3&gt;0,'IP Triangle'!W3/'IP Triangle'!V3,"")</f>
        <v/>
      </c>
      <c r="W3" s="10">
        <f>IF('IP Triangle'!W3&gt;0,'IP Triangle'!X3/'IP Triangle'!W3,"")</f>
        <v/>
      </c>
      <c r="X3" s="10">
        <f>IF('IP Triangle'!X3&gt;0,'IP Triangle'!Y3/'IP Triangle'!X3,"")</f>
        <v/>
      </c>
      <c r="Y3" s="10">
        <f>IF('IP Triangle'!Y3&gt;0,'IP Triangle'!Z3/'IP Triangle'!Y3,"")</f>
        <v/>
      </c>
      <c r="Z3" s="10">
        <f>IF('IP Triangle'!Z3&gt;0,'IP Triangle'!AA3/'IP Triangle'!Z3,"")</f>
        <v/>
      </c>
      <c r="AA3" s="10">
        <f>IF('IP Triangle'!AA3&gt;0,'IP Triangle'!AB3/'IP Triangle'!AA3,"")</f>
        <v/>
      </c>
      <c r="AB3" s="10">
        <f>IF('IP Triangle'!AB3&gt;0,'IP Triangle'!AC3/'IP Triangle'!AB3,"")</f>
        <v/>
      </c>
      <c r="AC3" s="10">
        <f>IF('IP Triangle'!AC3&gt;0,'IP Triangle'!AD3/'IP Triangle'!AC3,"")</f>
        <v/>
      </c>
      <c r="AD3" s="10">
        <f>IF('IP Triangle'!AD3&gt;0,'IP Triangle'!AE3/'IP Triangle'!AD3,"")</f>
        <v/>
      </c>
      <c r="AE3" s="10">
        <f>IF('IP Triangle'!AE3&gt;0,'IP Triangle'!AF3/'IP Triangle'!AE3,"")</f>
        <v/>
      </c>
      <c r="AF3" s="10">
        <f>IF('IP Triangle'!AF3&gt;0,'IP Triangle'!AG3/'IP Triangle'!AF3,"")</f>
        <v/>
      </c>
      <c r="AG3" s="10">
        <f>IF('IP Triangle'!AG3&gt;0,'IP Triangle'!AH3/'IP Triangle'!AG3,"")</f>
        <v/>
      </c>
      <c r="AH3" s="10">
        <f>IF('IP Triangle'!AH3&gt;0,'IP Triangle'!AI3/'IP Triangle'!AH3,"")</f>
        <v/>
      </c>
      <c r="AI3" s="10">
        <f>IF('IP Triangle'!AI3&gt;0,'IP Triangle'!AJ3/'IP Triangle'!AI3,"")</f>
        <v/>
      </c>
      <c r="AJ3" s="10">
        <f>IF('IP Triangle'!AJ3&gt;0,'IP Triangle'!AK3/'IP Triangle'!AJ3,"")</f>
        <v/>
      </c>
      <c r="AK3" s="10">
        <f>IF('IP Triangle'!AK3&gt;0,'IP Triangle'!AL3/'IP Triangle'!AK3,"")</f>
        <v/>
      </c>
      <c r="AL3" s="10">
        <f>IF('IP Triangle'!AL3&gt;0,'IP Triangle'!AM3/'IP Triangle'!AL3,"")</f>
        <v/>
      </c>
      <c r="AM3" s="10">
        <f>IF('IP Triangle'!AM3&gt;0,'IP Triangle'!AN3/'IP Triangle'!AM3,"")</f>
        <v/>
      </c>
      <c r="AN3" s="10">
        <f>IF('IP Triangle'!AN3&gt;0,'IP Triangle'!AO3/'IP Triangle'!AN3,"")</f>
        <v/>
      </c>
      <c r="AO3" s="11">
        <f>IF('IP Triangle'!AO3&gt;0,'IP Triangle'!AP3/'IP Triangle'!AO3,"")</f>
        <v/>
      </c>
      <c r="AP3" s="11">
        <f>IF('IP Triangle'!AP3&gt;0,'IP Triangle'!AQ3/'IP Triangle'!AP3,"")</f>
        <v/>
      </c>
      <c r="AQ3" s="10">
        <f>IF('IP Triangle'!AQ3&gt;0,'IP Triangle'!AR3/'IP Triangle'!AQ3,"")</f>
        <v/>
      </c>
      <c r="AR3" s="10">
        <f>IF('IP Triangle'!AR3&gt;0,'IP Triangle'!AS3/'IP Triangle'!AR3,"")</f>
        <v/>
      </c>
    </row>
    <row r="4">
      <c r="A4" s="6" t="inlineStr">
        <is>
          <t>2023-03</t>
        </is>
      </c>
      <c r="B4" s="10">
        <f>IF('IP Triangle'!B4&gt;0,'IP Triangle'!C4/'IP Triangle'!B4,"")</f>
        <v/>
      </c>
      <c r="C4" s="10">
        <f>IF('IP Triangle'!C4&gt;0,'IP Triangle'!D4/'IP Triangle'!C4,"")</f>
        <v/>
      </c>
      <c r="D4" s="10">
        <f>IF('IP Triangle'!D4&gt;0,'IP Triangle'!E4/'IP Triangle'!D4,"")</f>
        <v/>
      </c>
      <c r="E4" s="10">
        <f>IF('IP Triangle'!E4&gt;0,'IP Triangle'!F4/'IP Triangle'!E4,"")</f>
        <v/>
      </c>
      <c r="F4" s="10">
        <f>IF('IP Triangle'!F4&gt;0,'IP Triangle'!G4/'IP Triangle'!F4,"")</f>
        <v/>
      </c>
      <c r="G4" s="10">
        <f>IF('IP Triangle'!G4&gt;0,'IP Triangle'!H4/'IP Triangle'!G4,"")</f>
        <v/>
      </c>
      <c r="H4" s="10">
        <f>IF('IP Triangle'!H4&gt;0,'IP Triangle'!I4/'IP Triangle'!H4,"")</f>
        <v/>
      </c>
      <c r="I4" s="10">
        <f>IF('IP Triangle'!I4&gt;0,'IP Triangle'!J4/'IP Triangle'!I4,"")</f>
        <v/>
      </c>
      <c r="J4" s="10">
        <f>IF('IP Triangle'!J4&gt;0,'IP Triangle'!K4/'IP Triangle'!J4,"")</f>
        <v/>
      </c>
      <c r="K4" s="10">
        <f>IF('IP Triangle'!K4&gt;0,'IP Triangle'!L4/'IP Triangle'!K4,"")</f>
        <v/>
      </c>
      <c r="L4" s="10">
        <f>IF('IP Triangle'!L4&gt;0,'IP Triangle'!M4/'IP Triangle'!L4,"")</f>
        <v/>
      </c>
      <c r="M4" s="10">
        <f>IF('IP Triangle'!M4&gt;0,'IP Triangle'!N4/'IP Triangle'!M4,"")</f>
        <v/>
      </c>
      <c r="N4" s="10">
        <f>IF('IP Triangle'!N4&gt;0,'IP Triangle'!O4/'IP Triangle'!N4,"")</f>
        <v/>
      </c>
      <c r="O4" s="10">
        <f>IF('IP Triangle'!O4&gt;0,'IP Triangle'!P4/'IP Triangle'!O4,"")</f>
        <v/>
      </c>
      <c r="P4" s="10">
        <f>IF('IP Triangle'!P4&gt;0,'IP Triangle'!Q4/'IP Triangle'!P4,"")</f>
        <v/>
      </c>
      <c r="Q4" s="10">
        <f>IF('IP Triangle'!Q4&gt;0,'IP Triangle'!R4/'IP Triangle'!Q4,"")</f>
        <v/>
      </c>
      <c r="R4" s="10">
        <f>IF('IP Triangle'!R4&gt;0,'IP Triangle'!S4/'IP Triangle'!R4,"")</f>
        <v/>
      </c>
      <c r="S4" s="10">
        <f>IF('IP Triangle'!S4&gt;0,'IP Triangle'!T4/'IP Triangle'!S4,"")</f>
        <v/>
      </c>
      <c r="T4" s="10">
        <f>IF('IP Triangle'!T4&gt;0,'IP Triangle'!U4/'IP Triangle'!T4,"")</f>
        <v/>
      </c>
      <c r="U4" s="10">
        <f>IF('IP Triangle'!U4&gt;0,'IP Triangle'!V4/'IP Triangle'!U4,"")</f>
        <v/>
      </c>
      <c r="V4" s="10">
        <f>IF('IP Triangle'!V4&gt;0,'IP Triangle'!W4/'IP Triangle'!V4,"")</f>
        <v/>
      </c>
      <c r="W4" s="10">
        <f>IF('IP Triangle'!W4&gt;0,'IP Triangle'!X4/'IP Triangle'!W4,"")</f>
        <v/>
      </c>
      <c r="X4" s="10">
        <f>IF('IP Triangle'!X4&gt;0,'IP Triangle'!Y4/'IP Triangle'!X4,"")</f>
        <v/>
      </c>
      <c r="Y4" s="10">
        <f>IF('IP Triangle'!Y4&gt;0,'IP Triangle'!Z4/'IP Triangle'!Y4,"")</f>
        <v/>
      </c>
      <c r="Z4" s="10">
        <f>IF('IP Triangle'!Z4&gt;0,'IP Triangle'!AA4/'IP Triangle'!Z4,"")</f>
        <v/>
      </c>
      <c r="AA4" s="10">
        <f>IF('IP Triangle'!AA4&gt;0,'IP Triangle'!AB4/'IP Triangle'!AA4,"")</f>
        <v/>
      </c>
      <c r="AB4" s="10">
        <f>IF('IP Triangle'!AB4&gt;0,'IP Triangle'!AC4/'IP Triangle'!AB4,"")</f>
        <v/>
      </c>
      <c r="AC4" s="10">
        <f>IF('IP Triangle'!AC4&gt;0,'IP Triangle'!AD4/'IP Triangle'!AC4,"")</f>
        <v/>
      </c>
      <c r="AD4" s="10">
        <f>IF('IP Triangle'!AD4&gt;0,'IP Triangle'!AE4/'IP Triangle'!AD4,"")</f>
        <v/>
      </c>
      <c r="AE4" s="10">
        <f>IF('IP Triangle'!AE4&gt;0,'IP Triangle'!AF4/'IP Triangle'!AE4,"")</f>
        <v/>
      </c>
      <c r="AF4" s="10">
        <f>IF('IP Triangle'!AF4&gt;0,'IP Triangle'!AG4/'IP Triangle'!AF4,"")</f>
        <v/>
      </c>
      <c r="AG4" s="10">
        <f>IF('IP Triangle'!AG4&gt;0,'IP Triangle'!AH4/'IP Triangle'!AG4,"")</f>
        <v/>
      </c>
      <c r="AH4" s="10">
        <f>IF('IP Triangle'!AH4&gt;0,'IP Triangle'!AI4/'IP Triangle'!AH4,"")</f>
        <v/>
      </c>
      <c r="AI4" s="10">
        <f>IF('IP Triangle'!AI4&gt;0,'IP Triangle'!AJ4/'IP Triangle'!AI4,"")</f>
        <v/>
      </c>
      <c r="AJ4" s="10">
        <f>IF('IP Triangle'!AJ4&gt;0,'IP Triangle'!AK4/'IP Triangle'!AJ4,"")</f>
        <v/>
      </c>
      <c r="AK4" s="10">
        <f>IF('IP Triangle'!AK4&gt;0,'IP Triangle'!AL4/'IP Triangle'!AK4,"")</f>
        <v/>
      </c>
      <c r="AL4" s="10">
        <f>IF('IP Triangle'!AL4&gt;0,'IP Triangle'!AM4/'IP Triangle'!AL4,"")</f>
        <v/>
      </c>
      <c r="AM4" s="10">
        <f>IF('IP Triangle'!AM4&gt;0,'IP Triangle'!AN4/'IP Triangle'!AM4,"")</f>
        <v/>
      </c>
      <c r="AN4" s="11">
        <f>IF('IP Triangle'!AN4&gt;0,'IP Triangle'!AO4/'IP Triangle'!AN4,"")</f>
        <v/>
      </c>
      <c r="AO4" s="11">
        <f>IF('IP Triangle'!AO4&gt;0,'IP Triangle'!AP4/'IP Triangle'!AO4,"")</f>
        <v/>
      </c>
      <c r="AP4" s="10">
        <f>IF('IP Triangle'!AP4&gt;0,'IP Triangle'!AQ4/'IP Triangle'!AP4,"")</f>
        <v/>
      </c>
      <c r="AQ4" s="10">
        <f>IF('IP Triangle'!AQ4&gt;0,'IP Triangle'!AR4/'IP Triangle'!AQ4,"")</f>
        <v/>
      </c>
    </row>
    <row r="5">
      <c r="A5" s="6" t="inlineStr">
        <is>
          <t>2023-04</t>
        </is>
      </c>
      <c r="B5" s="10">
        <f>IF('IP Triangle'!B5&gt;0,'IP Triangle'!C5/'IP Triangle'!B5,"")</f>
        <v/>
      </c>
      <c r="C5" s="10">
        <f>IF('IP Triangle'!C5&gt;0,'IP Triangle'!D5/'IP Triangle'!C5,"")</f>
        <v/>
      </c>
      <c r="D5" s="10">
        <f>IF('IP Triangle'!D5&gt;0,'IP Triangle'!E5/'IP Triangle'!D5,"")</f>
        <v/>
      </c>
      <c r="E5" s="10">
        <f>IF('IP Triangle'!E5&gt;0,'IP Triangle'!F5/'IP Triangle'!E5,"")</f>
        <v/>
      </c>
      <c r="F5" s="10">
        <f>IF('IP Triangle'!F5&gt;0,'IP Triangle'!G5/'IP Triangle'!F5,"")</f>
        <v/>
      </c>
      <c r="G5" s="10">
        <f>IF('IP Triangle'!G5&gt;0,'IP Triangle'!H5/'IP Triangle'!G5,"")</f>
        <v/>
      </c>
      <c r="H5" s="10">
        <f>IF('IP Triangle'!H5&gt;0,'IP Triangle'!I5/'IP Triangle'!H5,"")</f>
        <v/>
      </c>
      <c r="I5" s="10">
        <f>IF('IP Triangle'!I5&gt;0,'IP Triangle'!J5/'IP Triangle'!I5,"")</f>
        <v/>
      </c>
      <c r="J5" s="10">
        <f>IF('IP Triangle'!J5&gt;0,'IP Triangle'!K5/'IP Triangle'!J5,"")</f>
        <v/>
      </c>
      <c r="K5" s="10">
        <f>IF('IP Triangle'!K5&gt;0,'IP Triangle'!L5/'IP Triangle'!K5,"")</f>
        <v/>
      </c>
      <c r="L5" s="10">
        <f>IF('IP Triangle'!L5&gt;0,'IP Triangle'!M5/'IP Triangle'!L5,"")</f>
        <v/>
      </c>
      <c r="M5" s="10">
        <f>IF('IP Triangle'!M5&gt;0,'IP Triangle'!N5/'IP Triangle'!M5,"")</f>
        <v/>
      </c>
      <c r="N5" s="10">
        <f>IF('IP Triangle'!N5&gt;0,'IP Triangle'!O5/'IP Triangle'!N5,"")</f>
        <v/>
      </c>
      <c r="O5" s="10">
        <f>IF('IP Triangle'!O5&gt;0,'IP Triangle'!P5/'IP Triangle'!O5,"")</f>
        <v/>
      </c>
      <c r="P5" s="10">
        <f>IF('IP Triangle'!P5&gt;0,'IP Triangle'!Q5/'IP Triangle'!P5,"")</f>
        <v/>
      </c>
      <c r="Q5" s="10">
        <f>IF('IP Triangle'!Q5&gt;0,'IP Triangle'!R5/'IP Triangle'!Q5,"")</f>
        <v/>
      </c>
      <c r="R5" s="10">
        <f>IF('IP Triangle'!R5&gt;0,'IP Triangle'!S5/'IP Triangle'!R5,"")</f>
        <v/>
      </c>
      <c r="S5" s="10">
        <f>IF('IP Triangle'!S5&gt;0,'IP Triangle'!T5/'IP Triangle'!S5,"")</f>
        <v/>
      </c>
      <c r="T5" s="10">
        <f>IF('IP Triangle'!T5&gt;0,'IP Triangle'!U5/'IP Triangle'!T5,"")</f>
        <v/>
      </c>
      <c r="U5" s="10">
        <f>IF('IP Triangle'!U5&gt;0,'IP Triangle'!V5/'IP Triangle'!U5,"")</f>
        <v/>
      </c>
      <c r="V5" s="10">
        <f>IF('IP Triangle'!V5&gt;0,'IP Triangle'!W5/'IP Triangle'!V5,"")</f>
        <v/>
      </c>
      <c r="W5" s="10">
        <f>IF('IP Triangle'!W5&gt;0,'IP Triangle'!X5/'IP Triangle'!W5,"")</f>
        <v/>
      </c>
      <c r="X5" s="10">
        <f>IF('IP Triangle'!X5&gt;0,'IP Triangle'!Y5/'IP Triangle'!X5,"")</f>
        <v/>
      </c>
      <c r="Y5" s="10">
        <f>IF('IP Triangle'!Y5&gt;0,'IP Triangle'!Z5/'IP Triangle'!Y5,"")</f>
        <v/>
      </c>
      <c r="Z5" s="10">
        <f>IF('IP Triangle'!Z5&gt;0,'IP Triangle'!AA5/'IP Triangle'!Z5,"")</f>
        <v/>
      </c>
      <c r="AA5" s="10">
        <f>IF('IP Triangle'!AA5&gt;0,'IP Triangle'!AB5/'IP Triangle'!AA5,"")</f>
        <v/>
      </c>
      <c r="AB5" s="10">
        <f>IF('IP Triangle'!AB5&gt;0,'IP Triangle'!AC5/'IP Triangle'!AB5,"")</f>
        <v/>
      </c>
      <c r="AC5" s="10">
        <f>IF('IP Triangle'!AC5&gt;0,'IP Triangle'!AD5/'IP Triangle'!AC5,"")</f>
        <v/>
      </c>
      <c r="AD5" s="10">
        <f>IF('IP Triangle'!AD5&gt;0,'IP Triangle'!AE5/'IP Triangle'!AD5,"")</f>
        <v/>
      </c>
      <c r="AE5" s="10">
        <f>IF('IP Triangle'!AE5&gt;0,'IP Triangle'!AF5/'IP Triangle'!AE5,"")</f>
        <v/>
      </c>
      <c r="AF5" s="10">
        <f>IF('IP Triangle'!AF5&gt;0,'IP Triangle'!AG5/'IP Triangle'!AF5,"")</f>
        <v/>
      </c>
      <c r="AG5" s="10">
        <f>IF('IP Triangle'!AG5&gt;0,'IP Triangle'!AH5/'IP Triangle'!AG5,"")</f>
        <v/>
      </c>
      <c r="AH5" s="10">
        <f>IF('IP Triangle'!AH5&gt;0,'IP Triangle'!AI5/'IP Triangle'!AH5,"")</f>
        <v/>
      </c>
      <c r="AI5" s="10">
        <f>IF('IP Triangle'!AI5&gt;0,'IP Triangle'!AJ5/'IP Triangle'!AI5,"")</f>
        <v/>
      </c>
      <c r="AJ5" s="10">
        <f>IF('IP Triangle'!AJ5&gt;0,'IP Triangle'!AK5/'IP Triangle'!AJ5,"")</f>
        <v/>
      </c>
      <c r="AK5" s="10">
        <f>IF('IP Triangle'!AK5&gt;0,'IP Triangle'!AL5/'IP Triangle'!AK5,"")</f>
        <v/>
      </c>
      <c r="AL5" s="10">
        <f>IF('IP Triangle'!AL5&gt;0,'IP Triangle'!AM5/'IP Triangle'!AL5,"")</f>
        <v/>
      </c>
      <c r="AM5" s="11">
        <f>IF('IP Triangle'!AM5&gt;0,'IP Triangle'!AN5/'IP Triangle'!AM5,"")</f>
        <v/>
      </c>
      <c r="AN5" s="11">
        <f>IF('IP Triangle'!AN5&gt;0,'IP Triangle'!AO5/'IP Triangle'!AN5,"")</f>
        <v/>
      </c>
      <c r="AO5" s="10">
        <f>IF('IP Triangle'!AO5&gt;0,'IP Triangle'!AP5/'IP Triangle'!AO5,"")</f>
        <v/>
      </c>
      <c r="AP5" s="10">
        <f>IF('IP Triangle'!AP5&gt;0,'IP Triangle'!AQ5/'IP Triangle'!AP5,"")</f>
        <v/>
      </c>
    </row>
    <row r="6">
      <c r="A6" s="6" t="inlineStr">
        <is>
          <t>2023-05</t>
        </is>
      </c>
      <c r="B6" s="10">
        <f>IF('IP Triangle'!B6&gt;0,'IP Triangle'!C6/'IP Triangle'!B6,"")</f>
        <v/>
      </c>
      <c r="C6" s="10">
        <f>IF('IP Triangle'!C6&gt;0,'IP Triangle'!D6/'IP Triangle'!C6,"")</f>
        <v/>
      </c>
      <c r="D6" s="10">
        <f>IF('IP Triangle'!D6&gt;0,'IP Triangle'!E6/'IP Triangle'!D6,"")</f>
        <v/>
      </c>
      <c r="E6" s="10">
        <f>IF('IP Triangle'!E6&gt;0,'IP Triangle'!F6/'IP Triangle'!E6,"")</f>
        <v/>
      </c>
      <c r="F6" s="10">
        <f>IF('IP Triangle'!F6&gt;0,'IP Triangle'!G6/'IP Triangle'!F6,"")</f>
        <v/>
      </c>
      <c r="G6" s="10">
        <f>IF('IP Triangle'!G6&gt;0,'IP Triangle'!H6/'IP Triangle'!G6,"")</f>
        <v/>
      </c>
      <c r="H6" s="10">
        <f>IF('IP Triangle'!H6&gt;0,'IP Triangle'!I6/'IP Triangle'!H6,"")</f>
        <v/>
      </c>
      <c r="I6" s="10">
        <f>IF('IP Triangle'!I6&gt;0,'IP Triangle'!J6/'IP Triangle'!I6,"")</f>
        <v/>
      </c>
      <c r="J6" s="10">
        <f>IF('IP Triangle'!J6&gt;0,'IP Triangle'!K6/'IP Triangle'!J6,"")</f>
        <v/>
      </c>
      <c r="K6" s="10">
        <f>IF('IP Triangle'!K6&gt;0,'IP Triangle'!L6/'IP Triangle'!K6,"")</f>
        <v/>
      </c>
      <c r="L6" s="10">
        <f>IF('IP Triangle'!L6&gt;0,'IP Triangle'!M6/'IP Triangle'!L6,"")</f>
        <v/>
      </c>
      <c r="M6" s="10">
        <f>IF('IP Triangle'!M6&gt;0,'IP Triangle'!N6/'IP Triangle'!M6,"")</f>
        <v/>
      </c>
      <c r="N6" s="10">
        <f>IF('IP Triangle'!N6&gt;0,'IP Triangle'!O6/'IP Triangle'!N6,"")</f>
        <v/>
      </c>
      <c r="O6" s="10">
        <f>IF('IP Triangle'!O6&gt;0,'IP Triangle'!P6/'IP Triangle'!O6,"")</f>
        <v/>
      </c>
      <c r="P6" s="10">
        <f>IF('IP Triangle'!P6&gt;0,'IP Triangle'!Q6/'IP Triangle'!P6,"")</f>
        <v/>
      </c>
      <c r="Q6" s="10">
        <f>IF('IP Triangle'!Q6&gt;0,'IP Triangle'!R6/'IP Triangle'!Q6,"")</f>
        <v/>
      </c>
      <c r="R6" s="10">
        <f>IF('IP Triangle'!R6&gt;0,'IP Triangle'!S6/'IP Triangle'!R6,"")</f>
        <v/>
      </c>
      <c r="S6" s="10">
        <f>IF('IP Triangle'!S6&gt;0,'IP Triangle'!T6/'IP Triangle'!S6,"")</f>
        <v/>
      </c>
      <c r="T6" s="10">
        <f>IF('IP Triangle'!T6&gt;0,'IP Triangle'!U6/'IP Triangle'!T6,"")</f>
        <v/>
      </c>
      <c r="U6" s="10">
        <f>IF('IP Triangle'!U6&gt;0,'IP Triangle'!V6/'IP Triangle'!U6,"")</f>
        <v/>
      </c>
      <c r="V6" s="10">
        <f>IF('IP Triangle'!V6&gt;0,'IP Triangle'!W6/'IP Triangle'!V6,"")</f>
        <v/>
      </c>
      <c r="W6" s="10">
        <f>IF('IP Triangle'!W6&gt;0,'IP Triangle'!X6/'IP Triangle'!W6,"")</f>
        <v/>
      </c>
      <c r="X6" s="10">
        <f>IF('IP Triangle'!X6&gt;0,'IP Triangle'!Y6/'IP Triangle'!X6,"")</f>
        <v/>
      </c>
      <c r="Y6" s="10">
        <f>IF('IP Triangle'!Y6&gt;0,'IP Triangle'!Z6/'IP Triangle'!Y6,"")</f>
        <v/>
      </c>
      <c r="Z6" s="10">
        <f>IF('IP Triangle'!Z6&gt;0,'IP Triangle'!AA6/'IP Triangle'!Z6,"")</f>
        <v/>
      </c>
      <c r="AA6" s="10">
        <f>IF('IP Triangle'!AA6&gt;0,'IP Triangle'!AB6/'IP Triangle'!AA6,"")</f>
        <v/>
      </c>
      <c r="AB6" s="10">
        <f>IF('IP Triangle'!AB6&gt;0,'IP Triangle'!AC6/'IP Triangle'!AB6,"")</f>
        <v/>
      </c>
      <c r="AC6" s="10">
        <f>IF('IP Triangle'!AC6&gt;0,'IP Triangle'!AD6/'IP Triangle'!AC6,"")</f>
        <v/>
      </c>
      <c r="AD6" s="10">
        <f>IF('IP Triangle'!AD6&gt;0,'IP Triangle'!AE6/'IP Triangle'!AD6,"")</f>
        <v/>
      </c>
      <c r="AE6" s="10">
        <f>IF('IP Triangle'!AE6&gt;0,'IP Triangle'!AF6/'IP Triangle'!AE6,"")</f>
        <v/>
      </c>
      <c r="AF6" s="10">
        <f>IF('IP Triangle'!AF6&gt;0,'IP Triangle'!AG6/'IP Triangle'!AF6,"")</f>
        <v/>
      </c>
      <c r="AG6" s="10">
        <f>IF('IP Triangle'!AG6&gt;0,'IP Triangle'!AH6/'IP Triangle'!AG6,"")</f>
        <v/>
      </c>
      <c r="AH6" s="10">
        <f>IF('IP Triangle'!AH6&gt;0,'IP Triangle'!AI6/'IP Triangle'!AH6,"")</f>
        <v/>
      </c>
      <c r="AI6" s="10">
        <f>IF('IP Triangle'!AI6&gt;0,'IP Triangle'!AJ6/'IP Triangle'!AI6,"")</f>
        <v/>
      </c>
      <c r="AJ6" s="10">
        <f>IF('IP Triangle'!AJ6&gt;0,'IP Triangle'!AK6/'IP Triangle'!AJ6,"")</f>
        <v/>
      </c>
      <c r="AK6" s="10">
        <f>IF('IP Triangle'!AK6&gt;0,'IP Triangle'!AL6/'IP Triangle'!AK6,"")</f>
        <v/>
      </c>
      <c r="AL6" s="11">
        <f>IF('IP Triangle'!AL6&gt;0,'IP Triangle'!AM6/'IP Triangle'!AL6,"")</f>
        <v/>
      </c>
      <c r="AM6" s="11">
        <f>IF('IP Triangle'!AM6&gt;0,'IP Triangle'!AN6/'IP Triangle'!AM6,"")</f>
        <v/>
      </c>
      <c r="AN6" s="10">
        <f>IF('IP Triangle'!AN6&gt;0,'IP Triangle'!AO6/'IP Triangle'!AN6,"")</f>
        <v/>
      </c>
      <c r="AO6" s="10">
        <f>IF('IP Triangle'!AO6&gt;0,'IP Triangle'!AP6/'IP Triangle'!AO6,"")</f>
        <v/>
      </c>
    </row>
    <row r="7">
      <c r="A7" s="6" t="inlineStr">
        <is>
          <t>2023-06</t>
        </is>
      </c>
      <c r="B7" s="10">
        <f>IF('IP Triangle'!B7&gt;0,'IP Triangle'!C7/'IP Triangle'!B7,"")</f>
        <v/>
      </c>
      <c r="C7" s="10">
        <f>IF('IP Triangle'!C7&gt;0,'IP Triangle'!D7/'IP Triangle'!C7,"")</f>
        <v/>
      </c>
      <c r="D7" s="10">
        <f>IF('IP Triangle'!D7&gt;0,'IP Triangle'!E7/'IP Triangle'!D7,"")</f>
        <v/>
      </c>
      <c r="E7" s="10">
        <f>IF('IP Triangle'!E7&gt;0,'IP Triangle'!F7/'IP Triangle'!E7,"")</f>
        <v/>
      </c>
      <c r="F7" s="10">
        <f>IF('IP Triangle'!F7&gt;0,'IP Triangle'!G7/'IP Triangle'!F7,"")</f>
        <v/>
      </c>
      <c r="G7" s="10">
        <f>IF('IP Triangle'!G7&gt;0,'IP Triangle'!H7/'IP Triangle'!G7,"")</f>
        <v/>
      </c>
      <c r="H7" s="10">
        <f>IF('IP Triangle'!H7&gt;0,'IP Triangle'!I7/'IP Triangle'!H7,"")</f>
        <v/>
      </c>
      <c r="I7" s="10">
        <f>IF('IP Triangle'!I7&gt;0,'IP Triangle'!J7/'IP Triangle'!I7,"")</f>
        <v/>
      </c>
      <c r="J7" s="10">
        <f>IF('IP Triangle'!J7&gt;0,'IP Triangle'!K7/'IP Triangle'!J7,"")</f>
        <v/>
      </c>
      <c r="K7" s="10">
        <f>IF('IP Triangle'!K7&gt;0,'IP Triangle'!L7/'IP Triangle'!K7,"")</f>
        <v/>
      </c>
      <c r="L7" s="10">
        <f>IF('IP Triangle'!L7&gt;0,'IP Triangle'!M7/'IP Triangle'!L7,"")</f>
        <v/>
      </c>
      <c r="M7" s="10">
        <f>IF('IP Triangle'!M7&gt;0,'IP Triangle'!N7/'IP Triangle'!M7,"")</f>
        <v/>
      </c>
      <c r="N7" s="10">
        <f>IF('IP Triangle'!N7&gt;0,'IP Triangle'!O7/'IP Triangle'!N7,"")</f>
        <v/>
      </c>
      <c r="O7" s="10">
        <f>IF('IP Triangle'!O7&gt;0,'IP Triangle'!P7/'IP Triangle'!O7,"")</f>
        <v/>
      </c>
      <c r="P7" s="10">
        <f>IF('IP Triangle'!P7&gt;0,'IP Triangle'!Q7/'IP Triangle'!P7,"")</f>
        <v/>
      </c>
      <c r="Q7" s="10">
        <f>IF('IP Triangle'!Q7&gt;0,'IP Triangle'!R7/'IP Triangle'!Q7,"")</f>
        <v/>
      </c>
      <c r="R7" s="10">
        <f>IF('IP Triangle'!R7&gt;0,'IP Triangle'!S7/'IP Triangle'!R7,"")</f>
        <v/>
      </c>
      <c r="S7" s="10">
        <f>IF('IP Triangle'!S7&gt;0,'IP Triangle'!T7/'IP Triangle'!S7,"")</f>
        <v/>
      </c>
      <c r="T7" s="10">
        <f>IF('IP Triangle'!T7&gt;0,'IP Triangle'!U7/'IP Triangle'!T7,"")</f>
        <v/>
      </c>
      <c r="U7" s="10">
        <f>IF('IP Triangle'!U7&gt;0,'IP Triangle'!V7/'IP Triangle'!U7,"")</f>
        <v/>
      </c>
      <c r="V7" s="10">
        <f>IF('IP Triangle'!V7&gt;0,'IP Triangle'!W7/'IP Triangle'!V7,"")</f>
        <v/>
      </c>
      <c r="W7" s="10">
        <f>IF('IP Triangle'!W7&gt;0,'IP Triangle'!X7/'IP Triangle'!W7,"")</f>
        <v/>
      </c>
      <c r="X7" s="10">
        <f>IF('IP Triangle'!X7&gt;0,'IP Triangle'!Y7/'IP Triangle'!X7,"")</f>
        <v/>
      </c>
      <c r="Y7" s="10">
        <f>IF('IP Triangle'!Y7&gt;0,'IP Triangle'!Z7/'IP Triangle'!Y7,"")</f>
        <v/>
      </c>
      <c r="Z7" s="10">
        <f>IF('IP Triangle'!Z7&gt;0,'IP Triangle'!AA7/'IP Triangle'!Z7,"")</f>
        <v/>
      </c>
      <c r="AA7" s="10">
        <f>IF('IP Triangle'!AA7&gt;0,'IP Triangle'!AB7/'IP Triangle'!AA7,"")</f>
        <v/>
      </c>
      <c r="AB7" s="10">
        <f>IF('IP Triangle'!AB7&gt;0,'IP Triangle'!AC7/'IP Triangle'!AB7,"")</f>
        <v/>
      </c>
      <c r="AC7" s="10">
        <f>IF('IP Triangle'!AC7&gt;0,'IP Triangle'!AD7/'IP Triangle'!AC7,"")</f>
        <v/>
      </c>
      <c r="AD7" s="10">
        <f>IF('IP Triangle'!AD7&gt;0,'IP Triangle'!AE7/'IP Triangle'!AD7,"")</f>
        <v/>
      </c>
      <c r="AE7" s="10">
        <f>IF('IP Triangle'!AE7&gt;0,'IP Triangle'!AF7/'IP Triangle'!AE7,"")</f>
        <v/>
      </c>
      <c r="AF7" s="10">
        <f>IF('IP Triangle'!AF7&gt;0,'IP Triangle'!AG7/'IP Triangle'!AF7,"")</f>
        <v/>
      </c>
      <c r="AG7" s="10">
        <f>IF('IP Triangle'!AG7&gt;0,'IP Triangle'!AH7/'IP Triangle'!AG7,"")</f>
        <v/>
      </c>
      <c r="AH7" s="10">
        <f>IF('IP Triangle'!AH7&gt;0,'IP Triangle'!AI7/'IP Triangle'!AH7,"")</f>
        <v/>
      </c>
      <c r="AI7" s="10">
        <f>IF('IP Triangle'!AI7&gt;0,'IP Triangle'!AJ7/'IP Triangle'!AI7,"")</f>
        <v/>
      </c>
      <c r="AJ7" s="10">
        <f>IF('IP Triangle'!AJ7&gt;0,'IP Triangle'!AK7/'IP Triangle'!AJ7,"")</f>
        <v/>
      </c>
      <c r="AK7" s="11">
        <f>IF('IP Triangle'!AK7&gt;0,'IP Triangle'!AL7/'IP Triangle'!AK7,"")</f>
        <v/>
      </c>
      <c r="AL7" s="11">
        <f>IF('IP Triangle'!AL7&gt;0,'IP Triangle'!AM7/'IP Triangle'!AL7,"")</f>
        <v/>
      </c>
      <c r="AM7" s="10">
        <f>IF('IP Triangle'!AM7&gt;0,'IP Triangle'!AN7/'IP Triangle'!AM7,"")</f>
        <v/>
      </c>
      <c r="AN7" s="10">
        <f>IF('IP Triangle'!AN7&gt;0,'IP Triangle'!AO7/'IP Triangle'!AN7,"")</f>
        <v/>
      </c>
    </row>
    <row r="8">
      <c r="A8" s="6" t="inlineStr">
        <is>
          <t>2023-07</t>
        </is>
      </c>
      <c r="B8" s="10">
        <f>IF('IP Triangle'!B8&gt;0,'IP Triangle'!C8/'IP Triangle'!B8,"")</f>
        <v/>
      </c>
      <c r="C8" s="10">
        <f>IF('IP Triangle'!C8&gt;0,'IP Triangle'!D8/'IP Triangle'!C8,"")</f>
        <v/>
      </c>
      <c r="D8" s="10">
        <f>IF('IP Triangle'!D8&gt;0,'IP Triangle'!E8/'IP Triangle'!D8,"")</f>
        <v/>
      </c>
      <c r="E8" s="10">
        <f>IF('IP Triangle'!E8&gt;0,'IP Triangle'!F8/'IP Triangle'!E8,"")</f>
        <v/>
      </c>
      <c r="F8" s="10">
        <f>IF('IP Triangle'!F8&gt;0,'IP Triangle'!G8/'IP Triangle'!F8,"")</f>
        <v/>
      </c>
      <c r="G8" s="10">
        <f>IF('IP Triangle'!G8&gt;0,'IP Triangle'!H8/'IP Triangle'!G8,"")</f>
        <v/>
      </c>
      <c r="H8" s="10">
        <f>IF('IP Triangle'!H8&gt;0,'IP Triangle'!I8/'IP Triangle'!H8,"")</f>
        <v/>
      </c>
      <c r="I8" s="10">
        <f>IF('IP Triangle'!I8&gt;0,'IP Triangle'!J8/'IP Triangle'!I8,"")</f>
        <v/>
      </c>
      <c r="J8" s="10">
        <f>IF('IP Triangle'!J8&gt;0,'IP Triangle'!K8/'IP Triangle'!J8,"")</f>
        <v/>
      </c>
      <c r="K8" s="10">
        <f>IF('IP Triangle'!K8&gt;0,'IP Triangle'!L8/'IP Triangle'!K8,"")</f>
        <v/>
      </c>
      <c r="L8" s="10">
        <f>IF('IP Triangle'!L8&gt;0,'IP Triangle'!M8/'IP Triangle'!L8,"")</f>
        <v/>
      </c>
      <c r="M8" s="10">
        <f>IF('IP Triangle'!M8&gt;0,'IP Triangle'!N8/'IP Triangle'!M8,"")</f>
        <v/>
      </c>
      <c r="N8" s="10">
        <f>IF('IP Triangle'!N8&gt;0,'IP Triangle'!O8/'IP Triangle'!N8,"")</f>
        <v/>
      </c>
      <c r="O8" s="10">
        <f>IF('IP Triangle'!O8&gt;0,'IP Triangle'!P8/'IP Triangle'!O8,"")</f>
        <v/>
      </c>
      <c r="P8" s="10">
        <f>IF('IP Triangle'!P8&gt;0,'IP Triangle'!Q8/'IP Triangle'!P8,"")</f>
        <v/>
      </c>
      <c r="Q8" s="10">
        <f>IF('IP Triangle'!Q8&gt;0,'IP Triangle'!R8/'IP Triangle'!Q8,"")</f>
        <v/>
      </c>
      <c r="R8" s="10">
        <f>IF('IP Triangle'!R8&gt;0,'IP Triangle'!S8/'IP Triangle'!R8,"")</f>
        <v/>
      </c>
      <c r="S8" s="10">
        <f>IF('IP Triangle'!S8&gt;0,'IP Triangle'!T8/'IP Triangle'!S8,"")</f>
        <v/>
      </c>
      <c r="T8" s="10">
        <f>IF('IP Triangle'!T8&gt;0,'IP Triangle'!U8/'IP Triangle'!T8,"")</f>
        <v/>
      </c>
      <c r="U8" s="10">
        <f>IF('IP Triangle'!U8&gt;0,'IP Triangle'!V8/'IP Triangle'!U8,"")</f>
        <v/>
      </c>
      <c r="V8" s="10">
        <f>IF('IP Triangle'!V8&gt;0,'IP Triangle'!W8/'IP Triangle'!V8,"")</f>
        <v/>
      </c>
      <c r="W8" s="10">
        <f>IF('IP Triangle'!W8&gt;0,'IP Triangle'!X8/'IP Triangle'!W8,"")</f>
        <v/>
      </c>
      <c r="X8" s="10">
        <f>IF('IP Triangle'!X8&gt;0,'IP Triangle'!Y8/'IP Triangle'!X8,"")</f>
        <v/>
      </c>
      <c r="Y8" s="10">
        <f>IF('IP Triangle'!Y8&gt;0,'IP Triangle'!Z8/'IP Triangle'!Y8,"")</f>
        <v/>
      </c>
      <c r="Z8" s="10">
        <f>IF('IP Triangle'!Z8&gt;0,'IP Triangle'!AA8/'IP Triangle'!Z8,"")</f>
        <v/>
      </c>
      <c r="AA8" s="10">
        <f>IF('IP Triangle'!AA8&gt;0,'IP Triangle'!AB8/'IP Triangle'!AA8,"")</f>
        <v/>
      </c>
      <c r="AB8" s="10">
        <f>IF('IP Triangle'!AB8&gt;0,'IP Triangle'!AC8/'IP Triangle'!AB8,"")</f>
        <v/>
      </c>
      <c r="AC8" s="10">
        <f>IF('IP Triangle'!AC8&gt;0,'IP Triangle'!AD8/'IP Triangle'!AC8,"")</f>
        <v/>
      </c>
      <c r="AD8" s="10">
        <f>IF('IP Triangle'!AD8&gt;0,'IP Triangle'!AE8/'IP Triangle'!AD8,"")</f>
        <v/>
      </c>
      <c r="AE8" s="10">
        <f>IF('IP Triangle'!AE8&gt;0,'IP Triangle'!AF8/'IP Triangle'!AE8,"")</f>
        <v/>
      </c>
      <c r="AF8" s="10">
        <f>IF('IP Triangle'!AF8&gt;0,'IP Triangle'!AG8/'IP Triangle'!AF8,"")</f>
        <v/>
      </c>
      <c r="AG8" s="10">
        <f>IF('IP Triangle'!AG8&gt;0,'IP Triangle'!AH8/'IP Triangle'!AG8,"")</f>
        <v/>
      </c>
      <c r="AH8" s="10">
        <f>IF('IP Triangle'!AH8&gt;0,'IP Triangle'!AI8/'IP Triangle'!AH8,"")</f>
        <v/>
      </c>
      <c r="AI8" s="10">
        <f>IF('IP Triangle'!AI8&gt;0,'IP Triangle'!AJ8/'IP Triangle'!AI8,"")</f>
        <v/>
      </c>
      <c r="AJ8" s="11">
        <f>IF('IP Triangle'!AJ8&gt;0,'IP Triangle'!AK8/'IP Triangle'!AJ8,"")</f>
        <v/>
      </c>
      <c r="AK8" s="11">
        <f>IF('IP Triangle'!AK8&gt;0,'IP Triangle'!AL8/'IP Triangle'!AK8,"")</f>
        <v/>
      </c>
      <c r="AL8" s="10">
        <f>IF('IP Triangle'!AL8&gt;0,'IP Triangle'!AM8/'IP Triangle'!AL8,"")</f>
        <v/>
      </c>
      <c r="AM8" s="10">
        <f>IF('IP Triangle'!AM8&gt;0,'IP Triangle'!AN8/'IP Triangle'!AM8,"")</f>
        <v/>
      </c>
    </row>
    <row r="9">
      <c r="A9" s="6" t="inlineStr">
        <is>
          <t>2023-08</t>
        </is>
      </c>
      <c r="B9" s="10">
        <f>IF('IP Triangle'!B9&gt;0,'IP Triangle'!C9/'IP Triangle'!B9,"")</f>
        <v/>
      </c>
      <c r="C9" s="10">
        <f>IF('IP Triangle'!C9&gt;0,'IP Triangle'!D9/'IP Triangle'!C9,"")</f>
        <v/>
      </c>
      <c r="D9" s="10">
        <f>IF('IP Triangle'!D9&gt;0,'IP Triangle'!E9/'IP Triangle'!D9,"")</f>
        <v/>
      </c>
      <c r="E9" s="10">
        <f>IF('IP Triangle'!E9&gt;0,'IP Triangle'!F9/'IP Triangle'!E9,"")</f>
        <v/>
      </c>
      <c r="F9" s="10">
        <f>IF('IP Triangle'!F9&gt;0,'IP Triangle'!G9/'IP Triangle'!F9,"")</f>
        <v/>
      </c>
      <c r="G9" s="10">
        <f>IF('IP Triangle'!G9&gt;0,'IP Triangle'!H9/'IP Triangle'!G9,"")</f>
        <v/>
      </c>
      <c r="H9" s="10">
        <f>IF('IP Triangle'!H9&gt;0,'IP Triangle'!I9/'IP Triangle'!H9,"")</f>
        <v/>
      </c>
      <c r="I9" s="10">
        <f>IF('IP Triangle'!I9&gt;0,'IP Triangle'!J9/'IP Triangle'!I9,"")</f>
        <v/>
      </c>
      <c r="J9" s="10">
        <f>IF('IP Triangle'!J9&gt;0,'IP Triangle'!K9/'IP Triangle'!J9,"")</f>
        <v/>
      </c>
      <c r="K9" s="10">
        <f>IF('IP Triangle'!K9&gt;0,'IP Triangle'!L9/'IP Triangle'!K9,"")</f>
        <v/>
      </c>
      <c r="L9" s="10">
        <f>IF('IP Triangle'!L9&gt;0,'IP Triangle'!M9/'IP Triangle'!L9,"")</f>
        <v/>
      </c>
      <c r="M9" s="10">
        <f>IF('IP Triangle'!M9&gt;0,'IP Triangle'!N9/'IP Triangle'!M9,"")</f>
        <v/>
      </c>
      <c r="N9" s="10">
        <f>IF('IP Triangle'!N9&gt;0,'IP Triangle'!O9/'IP Triangle'!N9,"")</f>
        <v/>
      </c>
      <c r="O9" s="10">
        <f>IF('IP Triangle'!O9&gt;0,'IP Triangle'!P9/'IP Triangle'!O9,"")</f>
        <v/>
      </c>
      <c r="P9" s="10">
        <f>IF('IP Triangle'!P9&gt;0,'IP Triangle'!Q9/'IP Triangle'!P9,"")</f>
        <v/>
      </c>
      <c r="Q9" s="10">
        <f>IF('IP Triangle'!Q9&gt;0,'IP Triangle'!R9/'IP Triangle'!Q9,"")</f>
        <v/>
      </c>
      <c r="R9" s="10">
        <f>IF('IP Triangle'!R9&gt;0,'IP Triangle'!S9/'IP Triangle'!R9,"")</f>
        <v/>
      </c>
      <c r="S9" s="10">
        <f>IF('IP Triangle'!S9&gt;0,'IP Triangle'!T9/'IP Triangle'!S9,"")</f>
        <v/>
      </c>
      <c r="T9" s="10">
        <f>IF('IP Triangle'!T9&gt;0,'IP Triangle'!U9/'IP Triangle'!T9,"")</f>
        <v/>
      </c>
      <c r="U9" s="10">
        <f>IF('IP Triangle'!U9&gt;0,'IP Triangle'!V9/'IP Triangle'!U9,"")</f>
        <v/>
      </c>
      <c r="V9" s="10">
        <f>IF('IP Triangle'!V9&gt;0,'IP Triangle'!W9/'IP Triangle'!V9,"")</f>
        <v/>
      </c>
      <c r="W9" s="10">
        <f>IF('IP Triangle'!W9&gt;0,'IP Triangle'!X9/'IP Triangle'!W9,"")</f>
        <v/>
      </c>
      <c r="X9" s="10">
        <f>IF('IP Triangle'!X9&gt;0,'IP Triangle'!Y9/'IP Triangle'!X9,"")</f>
        <v/>
      </c>
      <c r="Y9" s="10">
        <f>IF('IP Triangle'!Y9&gt;0,'IP Triangle'!Z9/'IP Triangle'!Y9,"")</f>
        <v/>
      </c>
      <c r="Z9" s="10">
        <f>IF('IP Triangle'!Z9&gt;0,'IP Triangle'!AA9/'IP Triangle'!Z9,"")</f>
        <v/>
      </c>
      <c r="AA9" s="10">
        <f>IF('IP Triangle'!AA9&gt;0,'IP Triangle'!AB9/'IP Triangle'!AA9,"")</f>
        <v/>
      </c>
      <c r="AB9" s="10">
        <f>IF('IP Triangle'!AB9&gt;0,'IP Triangle'!AC9/'IP Triangle'!AB9,"")</f>
        <v/>
      </c>
      <c r="AC9" s="10">
        <f>IF('IP Triangle'!AC9&gt;0,'IP Triangle'!AD9/'IP Triangle'!AC9,"")</f>
        <v/>
      </c>
      <c r="AD9" s="10">
        <f>IF('IP Triangle'!AD9&gt;0,'IP Triangle'!AE9/'IP Triangle'!AD9,"")</f>
        <v/>
      </c>
      <c r="AE9" s="10">
        <f>IF('IP Triangle'!AE9&gt;0,'IP Triangle'!AF9/'IP Triangle'!AE9,"")</f>
        <v/>
      </c>
      <c r="AF9" s="10">
        <f>IF('IP Triangle'!AF9&gt;0,'IP Triangle'!AG9/'IP Triangle'!AF9,"")</f>
        <v/>
      </c>
      <c r="AG9" s="10">
        <f>IF('IP Triangle'!AG9&gt;0,'IP Triangle'!AH9/'IP Triangle'!AG9,"")</f>
        <v/>
      </c>
      <c r="AH9" s="10">
        <f>IF('IP Triangle'!AH9&gt;0,'IP Triangle'!AI9/'IP Triangle'!AH9,"")</f>
        <v/>
      </c>
      <c r="AI9" s="11">
        <f>IF('IP Triangle'!AI9&gt;0,'IP Triangle'!AJ9/'IP Triangle'!AI9,"")</f>
        <v/>
      </c>
      <c r="AJ9" s="11">
        <f>IF('IP Triangle'!AJ9&gt;0,'IP Triangle'!AK9/'IP Triangle'!AJ9,"")</f>
        <v/>
      </c>
      <c r="AK9" s="10">
        <f>IF('IP Triangle'!AK9&gt;0,'IP Triangle'!AL9/'IP Triangle'!AK9,"")</f>
        <v/>
      </c>
      <c r="AL9" s="10">
        <f>IF('IP Triangle'!AL9&gt;0,'IP Triangle'!AM9/'IP Triangle'!AL9,"")</f>
        <v/>
      </c>
    </row>
    <row r="10">
      <c r="A10" s="6" t="inlineStr">
        <is>
          <t>2023-09</t>
        </is>
      </c>
      <c r="B10" s="10">
        <f>IF('IP Triangle'!B10&gt;0,'IP Triangle'!C10/'IP Triangle'!B10,"")</f>
        <v/>
      </c>
      <c r="C10" s="10">
        <f>IF('IP Triangle'!C10&gt;0,'IP Triangle'!D10/'IP Triangle'!C10,"")</f>
        <v/>
      </c>
      <c r="D10" s="10">
        <f>IF('IP Triangle'!D10&gt;0,'IP Triangle'!E10/'IP Triangle'!D10,"")</f>
        <v/>
      </c>
      <c r="E10" s="10">
        <f>IF('IP Triangle'!E10&gt;0,'IP Triangle'!F10/'IP Triangle'!E10,"")</f>
        <v/>
      </c>
      <c r="F10" s="10">
        <f>IF('IP Triangle'!F10&gt;0,'IP Triangle'!G10/'IP Triangle'!F10,"")</f>
        <v/>
      </c>
      <c r="G10" s="10">
        <f>IF('IP Triangle'!G10&gt;0,'IP Triangle'!H10/'IP Triangle'!G10,"")</f>
        <v/>
      </c>
      <c r="H10" s="10">
        <f>IF('IP Triangle'!H10&gt;0,'IP Triangle'!I10/'IP Triangle'!H10,"")</f>
        <v/>
      </c>
      <c r="I10" s="10">
        <f>IF('IP Triangle'!I10&gt;0,'IP Triangle'!J10/'IP Triangle'!I10,"")</f>
        <v/>
      </c>
      <c r="J10" s="10">
        <f>IF('IP Triangle'!J10&gt;0,'IP Triangle'!K10/'IP Triangle'!J10,"")</f>
        <v/>
      </c>
      <c r="K10" s="10">
        <f>IF('IP Triangle'!K10&gt;0,'IP Triangle'!L10/'IP Triangle'!K10,"")</f>
        <v/>
      </c>
      <c r="L10" s="10">
        <f>IF('IP Triangle'!L10&gt;0,'IP Triangle'!M10/'IP Triangle'!L10,"")</f>
        <v/>
      </c>
      <c r="M10" s="10">
        <f>IF('IP Triangle'!M10&gt;0,'IP Triangle'!N10/'IP Triangle'!M10,"")</f>
        <v/>
      </c>
      <c r="N10" s="10">
        <f>IF('IP Triangle'!N10&gt;0,'IP Triangle'!O10/'IP Triangle'!N10,"")</f>
        <v/>
      </c>
      <c r="O10" s="10">
        <f>IF('IP Triangle'!O10&gt;0,'IP Triangle'!P10/'IP Triangle'!O10,"")</f>
        <v/>
      </c>
      <c r="P10" s="10">
        <f>IF('IP Triangle'!P10&gt;0,'IP Triangle'!Q10/'IP Triangle'!P10,"")</f>
        <v/>
      </c>
      <c r="Q10" s="10">
        <f>IF('IP Triangle'!Q10&gt;0,'IP Triangle'!R10/'IP Triangle'!Q10,"")</f>
        <v/>
      </c>
      <c r="R10" s="10">
        <f>IF('IP Triangle'!R10&gt;0,'IP Triangle'!S10/'IP Triangle'!R10,"")</f>
        <v/>
      </c>
      <c r="S10" s="10">
        <f>IF('IP Triangle'!S10&gt;0,'IP Triangle'!T10/'IP Triangle'!S10,"")</f>
        <v/>
      </c>
      <c r="T10" s="10">
        <f>IF('IP Triangle'!T10&gt;0,'IP Triangle'!U10/'IP Triangle'!T10,"")</f>
        <v/>
      </c>
      <c r="U10" s="10">
        <f>IF('IP Triangle'!U10&gt;0,'IP Triangle'!V10/'IP Triangle'!U10,"")</f>
        <v/>
      </c>
      <c r="V10" s="10">
        <f>IF('IP Triangle'!V10&gt;0,'IP Triangle'!W10/'IP Triangle'!V10,"")</f>
        <v/>
      </c>
      <c r="W10" s="10">
        <f>IF('IP Triangle'!W10&gt;0,'IP Triangle'!X10/'IP Triangle'!W10,"")</f>
        <v/>
      </c>
      <c r="X10" s="10">
        <f>IF('IP Triangle'!X10&gt;0,'IP Triangle'!Y10/'IP Triangle'!X10,"")</f>
        <v/>
      </c>
      <c r="Y10" s="10">
        <f>IF('IP Triangle'!Y10&gt;0,'IP Triangle'!Z10/'IP Triangle'!Y10,"")</f>
        <v/>
      </c>
      <c r="Z10" s="10">
        <f>IF('IP Triangle'!Z10&gt;0,'IP Triangle'!AA10/'IP Triangle'!Z10,"")</f>
        <v/>
      </c>
      <c r="AA10" s="10">
        <f>IF('IP Triangle'!AA10&gt;0,'IP Triangle'!AB10/'IP Triangle'!AA10,"")</f>
        <v/>
      </c>
      <c r="AB10" s="10">
        <f>IF('IP Triangle'!AB10&gt;0,'IP Triangle'!AC10/'IP Triangle'!AB10,"")</f>
        <v/>
      </c>
      <c r="AC10" s="10">
        <f>IF('IP Triangle'!AC10&gt;0,'IP Triangle'!AD10/'IP Triangle'!AC10,"")</f>
        <v/>
      </c>
      <c r="AD10" s="10">
        <f>IF('IP Triangle'!AD10&gt;0,'IP Triangle'!AE10/'IP Triangle'!AD10,"")</f>
        <v/>
      </c>
      <c r="AE10" s="10">
        <f>IF('IP Triangle'!AE10&gt;0,'IP Triangle'!AF10/'IP Triangle'!AE10,"")</f>
        <v/>
      </c>
      <c r="AF10" s="10">
        <f>IF('IP Triangle'!AF10&gt;0,'IP Triangle'!AG10/'IP Triangle'!AF10,"")</f>
        <v/>
      </c>
      <c r="AG10" s="10">
        <f>IF('IP Triangle'!AG10&gt;0,'IP Triangle'!AH10/'IP Triangle'!AG10,"")</f>
        <v/>
      </c>
      <c r="AH10" s="11">
        <f>IF('IP Triangle'!AH10&gt;0,'IP Triangle'!AI10/'IP Triangle'!AH10,"")</f>
        <v/>
      </c>
      <c r="AI10" s="11">
        <f>IF('IP Triangle'!AI10&gt;0,'IP Triangle'!AJ10/'IP Triangle'!AI10,"")</f>
        <v/>
      </c>
      <c r="AJ10" s="10">
        <f>IF('IP Triangle'!AJ10&gt;0,'IP Triangle'!AK10/'IP Triangle'!AJ10,"")</f>
        <v/>
      </c>
      <c r="AK10" s="10">
        <f>IF('IP Triangle'!AK10&gt;0,'IP Triangle'!AL10/'IP Triangle'!AK10,"")</f>
        <v/>
      </c>
    </row>
    <row r="11">
      <c r="A11" s="6" t="inlineStr">
        <is>
          <t>2023-10</t>
        </is>
      </c>
      <c r="B11" s="10">
        <f>IF('IP Triangle'!B11&gt;0,'IP Triangle'!C11/'IP Triangle'!B11,"")</f>
        <v/>
      </c>
      <c r="C11" s="10">
        <f>IF('IP Triangle'!C11&gt;0,'IP Triangle'!D11/'IP Triangle'!C11,"")</f>
        <v/>
      </c>
      <c r="D11" s="10">
        <f>IF('IP Triangle'!D11&gt;0,'IP Triangle'!E11/'IP Triangle'!D11,"")</f>
        <v/>
      </c>
      <c r="E11" s="10">
        <f>IF('IP Triangle'!E11&gt;0,'IP Triangle'!F11/'IP Triangle'!E11,"")</f>
        <v/>
      </c>
      <c r="F11" s="10">
        <f>IF('IP Triangle'!F11&gt;0,'IP Triangle'!G11/'IP Triangle'!F11,"")</f>
        <v/>
      </c>
      <c r="G11" s="10">
        <f>IF('IP Triangle'!G11&gt;0,'IP Triangle'!H11/'IP Triangle'!G11,"")</f>
        <v/>
      </c>
      <c r="H11" s="10">
        <f>IF('IP Triangle'!H11&gt;0,'IP Triangle'!I11/'IP Triangle'!H11,"")</f>
        <v/>
      </c>
      <c r="I11" s="10">
        <f>IF('IP Triangle'!I11&gt;0,'IP Triangle'!J11/'IP Triangle'!I11,"")</f>
        <v/>
      </c>
      <c r="J11" s="10">
        <f>IF('IP Triangle'!J11&gt;0,'IP Triangle'!K11/'IP Triangle'!J11,"")</f>
        <v/>
      </c>
      <c r="K11" s="10">
        <f>IF('IP Triangle'!K11&gt;0,'IP Triangle'!L11/'IP Triangle'!K11,"")</f>
        <v/>
      </c>
      <c r="L11" s="10">
        <f>IF('IP Triangle'!L11&gt;0,'IP Triangle'!M11/'IP Triangle'!L11,"")</f>
        <v/>
      </c>
      <c r="M11" s="10">
        <f>IF('IP Triangle'!M11&gt;0,'IP Triangle'!N11/'IP Triangle'!M11,"")</f>
        <v/>
      </c>
      <c r="N11" s="10">
        <f>IF('IP Triangle'!N11&gt;0,'IP Triangle'!O11/'IP Triangle'!N11,"")</f>
        <v/>
      </c>
      <c r="O11" s="10">
        <f>IF('IP Triangle'!O11&gt;0,'IP Triangle'!P11/'IP Triangle'!O11,"")</f>
        <v/>
      </c>
      <c r="P11" s="10">
        <f>IF('IP Triangle'!P11&gt;0,'IP Triangle'!Q11/'IP Triangle'!P11,"")</f>
        <v/>
      </c>
      <c r="Q11" s="10">
        <f>IF('IP Triangle'!Q11&gt;0,'IP Triangle'!R11/'IP Triangle'!Q11,"")</f>
        <v/>
      </c>
      <c r="R11" s="10">
        <f>IF('IP Triangle'!R11&gt;0,'IP Triangle'!S11/'IP Triangle'!R11,"")</f>
        <v/>
      </c>
      <c r="S11" s="10">
        <f>IF('IP Triangle'!S11&gt;0,'IP Triangle'!T11/'IP Triangle'!S11,"")</f>
        <v/>
      </c>
      <c r="T11" s="10">
        <f>IF('IP Triangle'!T11&gt;0,'IP Triangle'!U11/'IP Triangle'!T11,"")</f>
        <v/>
      </c>
      <c r="U11" s="10">
        <f>IF('IP Triangle'!U11&gt;0,'IP Triangle'!V11/'IP Triangle'!U11,"")</f>
        <v/>
      </c>
      <c r="V11" s="10">
        <f>IF('IP Triangle'!V11&gt;0,'IP Triangle'!W11/'IP Triangle'!V11,"")</f>
        <v/>
      </c>
      <c r="W11" s="10">
        <f>IF('IP Triangle'!W11&gt;0,'IP Triangle'!X11/'IP Triangle'!W11,"")</f>
        <v/>
      </c>
      <c r="X11" s="10">
        <f>IF('IP Triangle'!X11&gt;0,'IP Triangle'!Y11/'IP Triangle'!X11,"")</f>
        <v/>
      </c>
      <c r="Y11" s="10">
        <f>IF('IP Triangle'!Y11&gt;0,'IP Triangle'!Z11/'IP Triangle'!Y11,"")</f>
        <v/>
      </c>
      <c r="Z11" s="10">
        <f>IF('IP Triangle'!Z11&gt;0,'IP Triangle'!AA11/'IP Triangle'!Z11,"")</f>
        <v/>
      </c>
      <c r="AA11" s="10">
        <f>IF('IP Triangle'!AA11&gt;0,'IP Triangle'!AB11/'IP Triangle'!AA11,"")</f>
        <v/>
      </c>
      <c r="AB11" s="10">
        <f>IF('IP Triangle'!AB11&gt;0,'IP Triangle'!AC11/'IP Triangle'!AB11,"")</f>
        <v/>
      </c>
      <c r="AC11" s="10">
        <f>IF('IP Triangle'!AC11&gt;0,'IP Triangle'!AD11/'IP Triangle'!AC11,"")</f>
        <v/>
      </c>
      <c r="AD11" s="10">
        <f>IF('IP Triangle'!AD11&gt;0,'IP Triangle'!AE11/'IP Triangle'!AD11,"")</f>
        <v/>
      </c>
      <c r="AE11" s="10">
        <f>IF('IP Triangle'!AE11&gt;0,'IP Triangle'!AF11/'IP Triangle'!AE11,"")</f>
        <v/>
      </c>
      <c r="AF11" s="10">
        <f>IF('IP Triangle'!AF11&gt;0,'IP Triangle'!AG11/'IP Triangle'!AF11,"")</f>
        <v/>
      </c>
      <c r="AG11" s="11">
        <f>IF('IP Triangle'!AG11&gt;0,'IP Triangle'!AH11/'IP Triangle'!AG11,"")</f>
        <v/>
      </c>
      <c r="AH11" s="11">
        <f>IF('IP Triangle'!AH11&gt;0,'IP Triangle'!AI11/'IP Triangle'!AH11,"")</f>
        <v/>
      </c>
      <c r="AI11" s="10">
        <f>IF('IP Triangle'!AI11&gt;0,'IP Triangle'!AJ11/'IP Triangle'!AI11,"")</f>
        <v/>
      </c>
      <c r="AJ11" s="10">
        <f>IF('IP Triangle'!AJ11&gt;0,'IP Triangle'!AK11/'IP Triangle'!AJ11,"")</f>
        <v/>
      </c>
    </row>
    <row r="12">
      <c r="A12" s="6" t="inlineStr">
        <is>
          <t>2023-11</t>
        </is>
      </c>
      <c r="B12" s="10">
        <f>IF('IP Triangle'!B12&gt;0,'IP Triangle'!C12/'IP Triangle'!B12,"")</f>
        <v/>
      </c>
      <c r="C12" s="10">
        <f>IF('IP Triangle'!C12&gt;0,'IP Triangle'!D12/'IP Triangle'!C12,"")</f>
        <v/>
      </c>
      <c r="D12" s="10">
        <f>IF('IP Triangle'!D12&gt;0,'IP Triangle'!E12/'IP Triangle'!D12,"")</f>
        <v/>
      </c>
      <c r="E12" s="10">
        <f>IF('IP Triangle'!E12&gt;0,'IP Triangle'!F12/'IP Triangle'!E12,"")</f>
        <v/>
      </c>
      <c r="F12" s="10">
        <f>IF('IP Triangle'!F12&gt;0,'IP Triangle'!G12/'IP Triangle'!F12,"")</f>
        <v/>
      </c>
      <c r="G12" s="10">
        <f>IF('IP Triangle'!G12&gt;0,'IP Triangle'!H12/'IP Triangle'!G12,"")</f>
        <v/>
      </c>
      <c r="H12" s="10">
        <f>IF('IP Triangle'!H12&gt;0,'IP Triangle'!I12/'IP Triangle'!H12,"")</f>
        <v/>
      </c>
      <c r="I12" s="10">
        <f>IF('IP Triangle'!I12&gt;0,'IP Triangle'!J12/'IP Triangle'!I12,"")</f>
        <v/>
      </c>
      <c r="J12" s="10">
        <f>IF('IP Triangle'!J12&gt;0,'IP Triangle'!K12/'IP Triangle'!J12,"")</f>
        <v/>
      </c>
      <c r="K12" s="10">
        <f>IF('IP Triangle'!K12&gt;0,'IP Triangle'!L12/'IP Triangle'!K12,"")</f>
        <v/>
      </c>
      <c r="L12" s="10">
        <f>IF('IP Triangle'!L12&gt;0,'IP Triangle'!M12/'IP Triangle'!L12,"")</f>
        <v/>
      </c>
      <c r="M12" s="10">
        <f>IF('IP Triangle'!M12&gt;0,'IP Triangle'!N12/'IP Triangle'!M12,"")</f>
        <v/>
      </c>
      <c r="N12" s="10">
        <f>IF('IP Triangle'!N12&gt;0,'IP Triangle'!O12/'IP Triangle'!N12,"")</f>
        <v/>
      </c>
      <c r="O12" s="10">
        <f>IF('IP Triangle'!O12&gt;0,'IP Triangle'!P12/'IP Triangle'!O12,"")</f>
        <v/>
      </c>
      <c r="P12" s="10">
        <f>IF('IP Triangle'!P12&gt;0,'IP Triangle'!Q12/'IP Triangle'!P12,"")</f>
        <v/>
      </c>
      <c r="Q12" s="10">
        <f>IF('IP Triangle'!Q12&gt;0,'IP Triangle'!R12/'IP Triangle'!Q12,"")</f>
        <v/>
      </c>
      <c r="R12" s="10">
        <f>IF('IP Triangle'!R12&gt;0,'IP Triangle'!S12/'IP Triangle'!R12,"")</f>
        <v/>
      </c>
      <c r="S12" s="10">
        <f>IF('IP Triangle'!S12&gt;0,'IP Triangle'!T12/'IP Triangle'!S12,"")</f>
        <v/>
      </c>
      <c r="T12" s="10">
        <f>IF('IP Triangle'!T12&gt;0,'IP Triangle'!U12/'IP Triangle'!T12,"")</f>
        <v/>
      </c>
      <c r="U12" s="10">
        <f>IF('IP Triangle'!U12&gt;0,'IP Triangle'!V12/'IP Triangle'!U12,"")</f>
        <v/>
      </c>
      <c r="V12" s="10">
        <f>IF('IP Triangle'!V12&gt;0,'IP Triangle'!W12/'IP Triangle'!V12,"")</f>
        <v/>
      </c>
      <c r="W12" s="10">
        <f>IF('IP Triangle'!W12&gt;0,'IP Triangle'!X12/'IP Triangle'!W12,"")</f>
        <v/>
      </c>
      <c r="X12" s="10">
        <f>IF('IP Triangle'!X12&gt;0,'IP Triangle'!Y12/'IP Triangle'!X12,"")</f>
        <v/>
      </c>
      <c r="Y12" s="10">
        <f>IF('IP Triangle'!Y12&gt;0,'IP Triangle'!Z12/'IP Triangle'!Y12,"")</f>
        <v/>
      </c>
      <c r="Z12" s="10">
        <f>IF('IP Triangle'!Z12&gt;0,'IP Triangle'!AA12/'IP Triangle'!Z12,"")</f>
        <v/>
      </c>
      <c r="AA12" s="10">
        <f>IF('IP Triangle'!AA12&gt;0,'IP Triangle'!AB12/'IP Triangle'!AA12,"")</f>
        <v/>
      </c>
      <c r="AB12" s="10">
        <f>IF('IP Triangle'!AB12&gt;0,'IP Triangle'!AC12/'IP Triangle'!AB12,"")</f>
        <v/>
      </c>
      <c r="AC12" s="10">
        <f>IF('IP Triangle'!AC12&gt;0,'IP Triangle'!AD12/'IP Triangle'!AC12,"")</f>
        <v/>
      </c>
      <c r="AD12" s="10">
        <f>IF('IP Triangle'!AD12&gt;0,'IP Triangle'!AE12/'IP Triangle'!AD12,"")</f>
        <v/>
      </c>
      <c r="AE12" s="10">
        <f>IF('IP Triangle'!AE12&gt;0,'IP Triangle'!AF12/'IP Triangle'!AE12,"")</f>
        <v/>
      </c>
      <c r="AF12" s="11">
        <f>IF('IP Triangle'!AF12&gt;0,'IP Triangle'!AG12/'IP Triangle'!AF12,"")</f>
        <v/>
      </c>
      <c r="AG12" s="11">
        <f>IF('IP Triangle'!AG12&gt;0,'IP Triangle'!AH12/'IP Triangle'!AG12,"")</f>
        <v/>
      </c>
      <c r="AH12" s="10">
        <f>IF('IP Triangle'!AH12&gt;0,'IP Triangle'!AI12/'IP Triangle'!AH12,"")</f>
        <v/>
      </c>
      <c r="AI12" s="10">
        <f>IF('IP Triangle'!AI12&gt;0,'IP Triangle'!AJ12/'IP Triangle'!AI12,"")</f>
        <v/>
      </c>
    </row>
    <row r="13">
      <c r="A13" s="6" t="inlineStr">
        <is>
          <t>2023-12</t>
        </is>
      </c>
      <c r="B13" s="10">
        <f>IF('IP Triangle'!B13&gt;0,'IP Triangle'!C13/'IP Triangle'!B13,"")</f>
        <v/>
      </c>
      <c r="C13" s="10">
        <f>IF('IP Triangle'!C13&gt;0,'IP Triangle'!D13/'IP Triangle'!C13,"")</f>
        <v/>
      </c>
      <c r="D13" s="10">
        <f>IF('IP Triangle'!D13&gt;0,'IP Triangle'!E13/'IP Triangle'!D13,"")</f>
        <v/>
      </c>
      <c r="E13" s="10">
        <f>IF('IP Triangle'!E13&gt;0,'IP Triangle'!F13/'IP Triangle'!E13,"")</f>
        <v/>
      </c>
      <c r="F13" s="10">
        <f>IF('IP Triangle'!F13&gt;0,'IP Triangle'!G13/'IP Triangle'!F13,"")</f>
        <v/>
      </c>
      <c r="G13" s="10">
        <f>IF('IP Triangle'!G13&gt;0,'IP Triangle'!H13/'IP Triangle'!G13,"")</f>
        <v/>
      </c>
      <c r="H13" s="10">
        <f>IF('IP Triangle'!H13&gt;0,'IP Triangle'!I13/'IP Triangle'!H13,"")</f>
        <v/>
      </c>
      <c r="I13" s="10">
        <f>IF('IP Triangle'!I13&gt;0,'IP Triangle'!J13/'IP Triangle'!I13,"")</f>
        <v/>
      </c>
      <c r="J13" s="10">
        <f>IF('IP Triangle'!J13&gt;0,'IP Triangle'!K13/'IP Triangle'!J13,"")</f>
        <v/>
      </c>
      <c r="K13" s="10">
        <f>IF('IP Triangle'!K13&gt;0,'IP Triangle'!L13/'IP Triangle'!K13,"")</f>
        <v/>
      </c>
      <c r="L13" s="10">
        <f>IF('IP Triangle'!L13&gt;0,'IP Triangle'!M13/'IP Triangle'!L13,"")</f>
        <v/>
      </c>
      <c r="M13" s="10">
        <f>IF('IP Triangle'!M13&gt;0,'IP Triangle'!N13/'IP Triangle'!M13,"")</f>
        <v/>
      </c>
      <c r="N13" s="10">
        <f>IF('IP Triangle'!N13&gt;0,'IP Triangle'!O13/'IP Triangle'!N13,"")</f>
        <v/>
      </c>
      <c r="O13" s="10">
        <f>IF('IP Triangle'!O13&gt;0,'IP Triangle'!P13/'IP Triangle'!O13,"")</f>
        <v/>
      </c>
      <c r="P13" s="10">
        <f>IF('IP Triangle'!P13&gt;0,'IP Triangle'!Q13/'IP Triangle'!P13,"")</f>
        <v/>
      </c>
      <c r="Q13" s="10">
        <f>IF('IP Triangle'!Q13&gt;0,'IP Triangle'!R13/'IP Triangle'!Q13,"")</f>
        <v/>
      </c>
      <c r="R13" s="10">
        <f>IF('IP Triangle'!R13&gt;0,'IP Triangle'!S13/'IP Triangle'!R13,"")</f>
        <v/>
      </c>
      <c r="S13" s="10">
        <f>IF('IP Triangle'!S13&gt;0,'IP Triangle'!T13/'IP Triangle'!S13,"")</f>
        <v/>
      </c>
      <c r="T13" s="10">
        <f>IF('IP Triangle'!T13&gt;0,'IP Triangle'!U13/'IP Triangle'!T13,"")</f>
        <v/>
      </c>
      <c r="U13" s="10">
        <f>IF('IP Triangle'!U13&gt;0,'IP Triangle'!V13/'IP Triangle'!U13,"")</f>
        <v/>
      </c>
      <c r="V13" s="10">
        <f>IF('IP Triangle'!V13&gt;0,'IP Triangle'!W13/'IP Triangle'!V13,"")</f>
        <v/>
      </c>
      <c r="W13" s="10">
        <f>IF('IP Triangle'!W13&gt;0,'IP Triangle'!X13/'IP Triangle'!W13,"")</f>
        <v/>
      </c>
      <c r="X13" s="10">
        <f>IF('IP Triangle'!X13&gt;0,'IP Triangle'!Y13/'IP Triangle'!X13,"")</f>
        <v/>
      </c>
      <c r="Y13" s="10">
        <f>IF('IP Triangle'!Y13&gt;0,'IP Triangle'!Z13/'IP Triangle'!Y13,"")</f>
        <v/>
      </c>
      <c r="Z13" s="10">
        <f>IF('IP Triangle'!Z13&gt;0,'IP Triangle'!AA13/'IP Triangle'!Z13,"")</f>
        <v/>
      </c>
      <c r="AA13" s="10">
        <f>IF('IP Triangle'!AA13&gt;0,'IP Triangle'!AB13/'IP Triangle'!AA13,"")</f>
        <v/>
      </c>
      <c r="AB13" s="10">
        <f>IF('IP Triangle'!AB13&gt;0,'IP Triangle'!AC13/'IP Triangle'!AB13,"")</f>
        <v/>
      </c>
      <c r="AC13" s="10">
        <f>IF('IP Triangle'!AC13&gt;0,'IP Triangle'!AD13/'IP Triangle'!AC13,"")</f>
        <v/>
      </c>
      <c r="AD13" s="10">
        <f>IF('IP Triangle'!AD13&gt;0,'IP Triangle'!AE13/'IP Triangle'!AD13,"")</f>
        <v/>
      </c>
      <c r="AE13" s="11">
        <f>IF('IP Triangle'!AE13&gt;0,'IP Triangle'!AF13/'IP Triangle'!AE13,"")</f>
        <v/>
      </c>
      <c r="AF13" s="11">
        <f>IF('IP Triangle'!AF13&gt;0,'IP Triangle'!AG13/'IP Triangle'!AF13,"")</f>
        <v/>
      </c>
      <c r="AG13" s="10">
        <f>IF('IP Triangle'!AG13&gt;0,'IP Triangle'!AH13/'IP Triangle'!AG13,"")</f>
        <v/>
      </c>
      <c r="AH13" s="10">
        <f>IF('IP Triangle'!AH13&gt;0,'IP Triangle'!AI13/'IP Triangle'!AH13,"")</f>
        <v/>
      </c>
    </row>
    <row r="14">
      <c r="A14" s="6" t="inlineStr">
        <is>
          <t>2024-01</t>
        </is>
      </c>
      <c r="B14" s="10">
        <f>IF('IP Triangle'!B14&gt;0,'IP Triangle'!C14/'IP Triangle'!B14,"")</f>
        <v/>
      </c>
      <c r="C14" s="10">
        <f>IF('IP Triangle'!C14&gt;0,'IP Triangle'!D14/'IP Triangle'!C14,"")</f>
        <v/>
      </c>
      <c r="D14" s="10">
        <f>IF('IP Triangle'!D14&gt;0,'IP Triangle'!E14/'IP Triangle'!D14,"")</f>
        <v/>
      </c>
      <c r="E14" s="10">
        <f>IF('IP Triangle'!E14&gt;0,'IP Triangle'!F14/'IP Triangle'!E14,"")</f>
        <v/>
      </c>
      <c r="F14" s="10">
        <f>IF('IP Triangle'!F14&gt;0,'IP Triangle'!G14/'IP Triangle'!F14,"")</f>
        <v/>
      </c>
      <c r="G14" s="10">
        <f>IF('IP Triangle'!G14&gt;0,'IP Triangle'!H14/'IP Triangle'!G14,"")</f>
        <v/>
      </c>
      <c r="H14" s="10">
        <f>IF('IP Triangle'!H14&gt;0,'IP Triangle'!I14/'IP Triangle'!H14,"")</f>
        <v/>
      </c>
      <c r="I14" s="10">
        <f>IF('IP Triangle'!I14&gt;0,'IP Triangle'!J14/'IP Triangle'!I14,"")</f>
        <v/>
      </c>
      <c r="J14" s="10">
        <f>IF('IP Triangle'!J14&gt;0,'IP Triangle'!K14/'IP Triangle'!J14,"")</f>
        <v/>
      </c>
      <c r="K14" s="10">
        <f>IF('IP Triangle'!K14&gt;0,'IP Triangle'!L14/'IP Triangle'!K14,"")</f>
        <v/>
      </c>
      <c r="L14" s="10">
        <f>IF('IP Triangle'!L14&gt;0,'IP Triangle'!M14/'IP Triangle'!L14,"")</f>
        <v/>
      </c>
      <c r="M14" s="10">
        <f>IF('IP Triangle'!M14&gt;0,'IP Triangle'!N14/'IP Triangle'!M14,"")</f>
        <v/>
      </c>
      <c r="N14" s="10">
        <f>IF('IP Triangle'!N14&gt;0,'IP Triangle'!O14/'IP Triangle'!N14,"")</f>
        <v/>
      </c>
      <c r="O14" s="10">
        <f>IF('IP Triangle'!O14&gt;0,'IP Triangle'!P14/'IP Triangle'!O14,"")</f>
        <v/>
      </c>
      <c r="P14" s="10">
        <f>IF('IP Triangle'!P14&gt;0,'IP Triangle'!Q14/'IP Triangle'!P14,"")</f>
        <v/>
      </c>
      <c r="Q14" s="10">
        <f>IF('IP Triangle'!Q14&gt;0,'IP Triangle'!R14/'IP Triangle'!Q14,"")</f>
        <v/>
      </c>
      <c r="R14" s="10">
        <f>IF('IP Triangle'!R14&gt;0,'IP Triangle'!S14/'IP Triangle'!R14,"")</f>
        <v/>
      </c>
      <c r="S14" s="10">
        <f>IF('IP Triangle'!S14&gt;0,'IP Triangle'!T14/'IP Triangle'!S14,"")</f>
        <v/>
      </c>
      <c r="T14" s="10">
        <f>IF('IP Triangle'!T14&gt;0,'IP Triangle'!U14/'IP Triangle'!T14,"")</f>
        <v/>
      </c>
      <c r="U14" s="10">
        <f>IF('IP Triangle'!U14&gt;0,'IP Triangle'!V14/'IP Triangle'!U14,"")</f>
        <v/>
      </c>
      <c r="V14" s="10">
        <f>IF('IP Triangle'!V14&gt;0,'IP Triangle'!W14/'IP Triangle'!V14,"")</f>
        <v/>
      </c>
      <c r="W14" s="10">
        <f>IF('IP Triangle'!W14&gt;0,'IP Triangle'!X14/'IP Triangle'!W14,"")</f>
        <v/>
      </c>
      <c r="X14" s="10">
        <f>IF('IP Triangle'!X14&gt;0,'IP Triangle'!Y14/'IP Triangle'!X14,"")</f>
        <v/>
      </c>
      <c r="Y14" s="10">
        <f>IF('IP Triangle'!Y14&gt;0,'IP Triangle'!Z14/'IP Triangle'!Y14,"")</f>
        <v/>
      </c>
      <c r="Z14" s="10">
        <f>IF('IP Triangle'!Z14&gt;0,'IP Triangle'!AA14/'IP Triangle'!Z14,"")</f>
        <v/>
      </c>
      <c r="AA14" s="10">
        <f>IF('IP Triangle'!AA14&gt;0,'IP Triangle'!AB14/'IP Triangle'!AA14,"")</f>
        <v/>
      </c>
      <c r="AB14" s="10">
        <f>IF('IP Triangle'!AB14&gt;0,'IP Triangle'!AC14/'IP Triangle'!AB14,"")</f>
        <v/>
      </c>
      <c r="AC14" s="10">
        <f>IF('IP Triangle'!AC14&gt;0,'IP Triangle'!AD14/'IP Triangle'!AC14,"")</f>
        <v/>
      </c>
      <c r="AD14" s="11">
        <f>IF('IP Triangle'!AD14&gt;0,'IP Triangle'!AE14/'IP Triangle'!AD14,"")</f>
        <v/>
      </c>
      <c r="AE14" s="11">
        <f>IF('IP Triangle'!AE14&gt;0,'IP Triangle'!AF14/'IP Triangle'!AE14,"")</f>
        <v/>
      </c>
      <c r="AF14" s="10">
        <f>IF('IP Triangle'!AF14&gt;0,'IP Triangle'!AG14/'IP Triangle'!AF14,"")</f>
        <v/>
      </c>
      <c r="AG14" s="10">
        <f>IF('IP Triangle'!AG14&gt;0,'IP Triangle'!AH14/'IP Triangle'!AG14,"")</f>
        <v/>
      </c>
    </row>
    <row r="15">
      <c r="A15" s="6" t="inlineStr">
        <is>
          <t>2024-02</t>
        </is>
      </c>
      <c r="B15" s="10">
        <f>IF('IP Triangle'!B15&gt;0,'IP Triangle'!C15/'IP Triangle'!B15,"")</f>
        <v/>
      </c>
      <c r="C15" s="10">
        <f>IF('IP Triangle'!C15&gt;0,'IP Triangle'!D15/'IP Triangle'!C15,"")</f>
        <v/>
      </c>
      <c r="D15" s="10">
        <f>IF('IP Triangle'!D15&gt;0,'IP Triangle'!E15/'IP Triangle'!D15,"")</f>
        <v/>
      </c>
      <c r="E15" s="10">
        <f>IF('IP Triangle'!E15&gt;0,'IP Triangle'!F15/'IP Triangle'!E15,"")</f>
        <v/>
      </c>
      <c r="F15" s="10">
        <f>IF('IP Triangle'!F15&gt;0,'IP Triangle'!G15/'IP Triangle'!F15,"")</f>
        <v/>
      </c>
      <c r="G15" s="10">
        <f>IF('IP Triangle'!G15&gt;0,'IP Triangle'!H15/'IP Triangle'!G15,"")</f>
        <v/>
      </c>
      <c r="H15" s="10">
        <f>IF('IP Triangle'!H15&gt;0,'IP Triangle'!I15/'IP Triangle'!H15,"")</f>
        <v/>
      </c>
      <c r="I15" s="10">
        <f>IF('IP Triangle'!I15&gt;0,'IP Triangle'!J15/'IP Triangle'!I15,"")</f>
        <v/>
      </c>
      <c r="J15" s="10">
        <f>IF('IP Triangle'!J15&gt;0,'IP Triangle'!K15/'IP Triangle'!J15,"")</f>
        <v/>
      </c>
      <c r="K15" s="10">
        <f>IF('IP Triangle'!K15&gt;0,'IP Triangle'!L15/'IP Triangle'!K15,"")</f>
        <v/>
      </c>
      <c r="L15" s="10">
        <f>IF('IP Triangle'!L15&gt;0,'IP Triangle'!M15/'IP Triangle'!L15,"")</f>
        <v/>
      </c>
      <c r="M15" s="10">
        <f>IF('IP Triangle'!M15&gt;0,'IP Triangle'!N15/'IP Triangle'!M15,"")</f>
        <v/>
      </c>
      <c r="N15" s="10">
        <f>IF('IP Triangle'!N15&gt;0,'IP Triangle'!O15/'IP Triangle'!N15,"")</f>
        <v/>
      </c>
      <c r="O15" s="10">
        <f>IF('IP Triangle'!O15&gt;0,'IP Triangle'!P15/'IP Triangle'!O15,"")</f>
        <v/>
      </c>
      <c r="P15" s="10">
        <f>IF('IP Triangle'!P15&gt;0,'IP Triangle'!Q15/'IP Triangle'!P15,"")</f>
        <v/>
      </c>
      <c r="Q15" s="10">
        <f>IF('IP Triangle'!Q15&gt;0,'IP Triangle'!R15/'IP Triangle'!Q15,"")</f>
        <v/>
      </c>
      <c r="R15" s="10">
        <f>IF('IP Triangle'!R15&gt;0,'IP Triangle'!S15/'IP Triangle'!R15,"")</f>
        <v/>
      </c>
      <c r="S15" s="10">
        <f>IF('IP Triangle'!S15&gt;0,'IP Triangle'!T15/'IP Triangle'!S15,"")</f>
        <v/>
      </c>
      <c r="T15" s="10">
        <f>IF('IP Triangle'!T15&gt;0,'IP Triangle'!U15/'IP Triangle'!T15,"")</f>
        <v/>
      </c>
      <c r="U15" s="10">
        <f>IF('IP Triangle'!U15&gt;0,'IP Triangle'!V15/'IP Triangle'!U15,"")</f>
        <v/>
      </c>
      <c r="V15" s="10">
        <f>IF('IP Triangle'!V15&gt;0,'IP Triangle'!W15/'IP Triangle'!V15,"")</f>
        <v/>
      </c>
      <c r="W15" s="10">
        <f>IF('IP Triangle'!W15&gt;0,'IP Triangle'!X15/'IP Triangle'!W15,"")</f>
        <v/>
      </c>
      <c r="X15" s="10">
        <f>IF('IP Triangle'!X15&gt;0,'IP Triangle'!Y15/'IP Triangle'!X15,"")</f>
        <v/>
      </c>
      <c r="Y15" s="10">
        <f>IF('IP Triangle'!Y15&gt;0,'IP Triangle'!Z15/'IP Triangle'!Y15,"")</f>
        <v/>
      </c>
      <c r="Z15" s="10">
        <f>IF('IP Triangle'!Z15&gt;0,'IP Triangle'!AA15/'IP Triangle'!Z15,"")</f>
        <v/>
      </c>
      <c r="AA15" s="10">
        <f>IF('IP Triangle'!AA15&gt;0,'IP Triangle'!AB15/'IP Triangle'!AA15,"")</f>
        <v/>
      </c>
      <c r="AB15" s="10">
        <f>IF('IP Triangle'!AB15&gt;0,'IP Triangle'!AC15/'IP Triangle'!AB15,"")</f>
        <v/>
      </c>
      <c r="AC15" s="11">
        <f>IF('IP Triangle'!AC15&gt;0,'IP Triangle'!AD15/'IP Triangle'!AC15,"")</f>
        <v/>
      </c>
      <c r="AD15" s="11">
        <f>IF('IP Triangle'!AD15&gt;0,'IP Triangle'!AE15/'IP Triangle'!AD15,"")</f>
        <v/>
      </c>
      <c r="AE15" s="10">
        <f>IF('IP Triangle'!AE15&gt;0,'IP Triangle'!AF15/'IP Triangle'!AE15,"")</f>
        <v/>
      </c>
      <c r="AF15" s="10">
        <f>IF('IP Triangle'!AF15&gt;0,'IP Triangle'!AG15/'IP Triangle'!AF15,"")</f>
        <v/>
      </c>
    </row>
    <row r="16">
      <c r="A16" s="6" t="inlineStr">
        <is>
          <t>2024-03</t>
        </is>
      </c>
      <c r="B16" s="10">
        <f>IF('IP Triangle'!B16&gt;0,'IP Triangle'!C16/'IP Triangle'!B16,"")</f>
        <v/>
      </c>
      <c r="C16" s="10">
        <f>IF('IP Triangle'!C16&gt;0,'IP Triangle'!D16/'IP Triangle'!C16,"")</f>
        <v/>
      </c>
      <c r="D16" s="10">
        <f>IF('IP Triangle'!D16&gt;0,'IP Triangle'!E16/'IP Triangle'!D16,"")</f>
        <v/>
      </c>
      <c r="E16" s="10">
        <f>IF('IP Triangle'!E16&gt;0,'IP Triangle'!F16/'IP Triangle'!E16,"")</f>
        <v/>
      </c>
      <c r="F16" s="10">
        <f>IF('IP Triangle'!F16&gt;0,'IP Triangle'!G16/'IP Triangle'!F16,"")</f>
        <v/>
      </c>
      <c r="G16" s="10">
        <f>IF('IP Triangle'!G16&gt;0,'IP Triangle'!H16/'IP Triangle'!G16,"")</f>
        <v/>
      </c>
      <c r="H16" s="10">
        <f>IF('IP Triangle'!H16&gt;0,'IP Triangle'!I16/'IP Triangle'!H16,"")</f>
        <v/>
      </c>
      <c r="I16" s="10">
        <f>IF('IP Triangle'!I16&gt;0,'IP Triangle'!J16/'IP Triangle'!I16,"")</f>
        <v/>
      </c>
      <c r="J16" s="10">
        <f>IF('IP Triangle'!J16&gt;0,'IP Triangle'!K16/'IP Triangle'!J16,"")</f>
        <v/>
      </c>
      <c r="K16" s="10">
        <f>IF('IP Triangle'!K16&gt;0,'IP Triangle'!L16/'IP Triangle'!K16,"")</f>
        <v/>
      </c>
      <c r="L16" s="10">
        <f>IF('IP Triangle'!L16&gt;0,'IP Triangle'!M16/'IP Triangle'!L16,"")</f>
        <v/>
      </c>
      <c r="M16" s="10">
        <f>IF('IP Triangle'!M16&gt;0,'IP Triangle'!N16/'IP Triangle'!M16,"")</f>
        <v/>
      </c>
      <c r="N16" s="10">
        <f>IF('IP Triangle'!N16&gt;0,'IP Triangle'!O16/'IP Triangle'!N16,"")</f>
        <v/>
      </c>
      <c r="O16" s="10">
        <f>IF('IP Triangle'!O16&gt;0,'IP Triangle'!P16/'IP Triangle'!O16,"")</f>
        <v/>
      </c>
      <c r="P16" s="10">
        <f>IF('IP Triangle'!P16&gt;0,'IP Triangle'!Q16/'IP Triangle'!P16,"")</f>
        <v/>
      </c>
      <c r="Q16" s="10">
        <f>IF('IP Triangle'!Q16&gt;0,'IP Triangle'!R16/'IP Triangle'!Q16,"")</f>
        <v/>
      </c>
      <c r="R16" s="10">
        <f>IF('IP Triangle'!R16&gt;0,'IP Triangle'!S16/'IP Triangle'!R16,"")</f>
        <v/>
      </c>
      <c r="S16" s="10">
        <f>IF('IP Triangle'!S16&gt;0,'IP Triangle'!T16/'IP Triangle'!S16,"")</f>
        <v/>
      </c>
      <c r="T16" s="10">
        <f>IF('IP Triangle'!T16&gt;0,'IP Triangle'!U16/'IP Triangle'!T16,"")</f>
        <v/>
      </c>
      <c r="U16" s="10">
        <f>IF('IP Triangle'!U16&gt;0,'IP Triangle'!V16/'IP Triangle'!U16,"")</f>
        <v/>
      </c>
      <c r="V16" s="10">
        <f>IF('IP Triangle'!V16&gt;0,'IP Triangle'!W16/'IP Triangle'!V16,"")</f>
        <v/>
      </c>
      <c r="W16" s="10">
        <f>IF('IP Triangle'!W16&gt;0,'IP Triangle'!X16/'IP Triangle'!W16,"")</f>
        <v/>
      </c>
      <c r="X16" s="10">
        <f>IF('IP Triangle'!X16&gt;0,'IP Triangle'!Y16/'IP Triangle'!X16,"")</f>
        <v/>
      </c>
      <c r="Y16" s="10">
        <f>IF('IP Triangle'!Y16&gt;0,'IP Triangle'!Z16/'IP Triangle'!Y16,"")</f>
        <v/>
      </c>
      <c r="Z16" s="10">
        <f>IF('IP Triangle'!Z16&gt;0,'IP Triangle'!AA16/'IP Triangle'!Z16,"")</f>
        <v/>
      </c>
      <c r="AA16" s="10">
        <f>IF('IP Triangle'!AA16&gt;0,'IP Triangle'!AB16/'IP Triangle'!AA16,"")</f>
        <v/>
      </c>
      <c r="AB16" s="11">
        <f>IF('IP Triangle'!AB16&gt;0,'IP Triangle'!AC16/'IP Triangle'!AB16,"")</f>
        <v/>
      </c>
      <c r="AC16" s="11">
        <f>IF('IP Triangle'!AC16&gt;0,'IP Triangle'!AD16/'IP Triangle'!AC16,"")</f>
        <v/>
      </c>
      <c r="AD16" s="10">
        <f>IF('IP Triangle'!AD16&gt;0,'IP Triangle'!AE16/'IP Triangle'!AD16,"")</f>
        <v/>
      </c>
      <c r="AE16" s="10">
        <f>IF('IP Triangle'!AE16&gt;0,'IP Triangle'!AF16/'IP Triangle'!AE16,"")</f>
        <v/>
      </c>
    </row>
    <row r="17">
      <c r="A17" s="6" t="inlineStr">
        <is>
          <t>2024-04</t>
        </is>
      </c>
      <c r="B17" s="10">
        <f>IF('IP Triangle'!B17&gt;0,'IP Triangle'!C17/'IP Triangle'!B17,"")</f>
        <v/>
      </c>
      <c r="C17" s="10">
        <f>IF('IP Triangle'!C17&gt;0,'IP Triangle'!D17/'IP Triangle'!C17,"")</f>
        <v/>
      </c>
      <c r="D17" s="10">
        <f>IF('IP Triangle'!D17&gt;0,'IP Triangle'!E17/'IP Triangle'!D17,"")</f>
        <v/>
      </c>
      <c r="E17" s="10">
        <f>IF('IP Triangle'!E17&gt;0,'IP Triangle'!F17/'IP Triangle'!E17,"")</f>
        <v/>
      </c>
      <c r="F17" s="10">
        <f>IF('IP Triangle'!F17&gt;0,'IP Triangle'!G17/'IP Triangle'!F17,"")</f>
        <v/>
      </c>
      <c r="G17" s="10">
        <f>IF('IP Triangle'!G17&gt;0,'IP Triangle'!H17/'IP Triangle'!G17,"")</f>
        <v/>
      </c>
      <c r="H17" s="10">
        <f>IF('IP Triangle'!H17&gt;0,'IP Triangle'!I17/'IP Triangle'!H17,"")</f>
        <v/>
      </c>
      <c r="I17" s="10">
        <f>IF('IP Triangle'!I17&gt;0,'IP Triangle'!J17/'IP Triangle'!I17,"")</f>
        <v/>
      </c>
      <c r="J17" s="10">
        <f>IF('IP Triangle'!J17&gt;0,'IP Triangle'!K17/'IP Triangle'!J17,"")</f>
        <v/>
      </c>
      <c r="K17" s="10">
        <f>IF('IP Triangle'!K17&gt;0,'IP Triangle'!L17/'IP Triangle'!K17,"")</f>
        <v/>
      </c>
      <c r="L17" s="10">
        <f>IF('IP Triangle'!L17&gt;0,'IP Triangle'!M17/'IP Triangle'!L17,"")</f>
        <v/>
      </c>
      <c r="M17" s="10">
        <f>IF('IP Triangle'!M17&gt;0,'IP Triangle'!N17/'IP Triangle'!M17,"")</f>
        <v/>
      </c>
      <c r="N17" s="10">
        <f>IF('IP Triangle'!N17&gt;0,'IP Triangle'!O17/'IP Triangle'!N17,"")</f>
        <v/>
      </c>
      <c r="O17" s="10">
        <f>IF('IP Triangle'!O17&gt;0,'IP Triangle'!P17/'IP Triangle'!O17,"")</f>
        <v/>
      </c>
      <c r="P17" s="10">
        <f>IF('IP Triangle'!P17&gt;0,'IP Triangle'!Q17/'IP Triangle'!P17,"")</f>
        <v/>
      </c>
      <c r="Q17" s="10">
        <f>IF('IP Triangle'!Q17&gt;0,'IP Triangle'!R17/'IP Triangle'!Q17,"")</f>
        <v/>
      </c>
      <c r="R17" s="10">
        <f>IF('IP Triangle'!R17&gt;0,'IP Triangle'!S17/'IP Triangle'!R17,"")</f>
        <v/>
      </c>
      <c r="S17" s="10">
        <f>IF('IP Triangle'!S17&gt;0,'IP Triangle'!T17/'IP Triangle'!S17,"")</f>
        <v/>
      </c>
      <c r="T17" s="10">
        <f>IF('IP Triangle'!T17&gt;0,'IP Triangle'!U17/'IP Triangle'!T17,"")</f>
        <v/>
      </c>
      <c r="U17" s="10">
        <f>IF('IP Triangle'!U17&gt;0,'IP Triangle'!V17/'IP Triangle'!U17,"")</f>
        <v/>
      </c>
      <c r="V17" s="10">
        <f>IF('IP Triangle'!V17&gt;0,'IP Triangle'!W17/'IP Triangle'!V17,"")</f>
        <v/>
      </c>
      <c r="W17" s="10">
        <f>IF('IP Triangle'!W17&gt;0,'IP Triangle'!X17/'IP Triangle'!W17,"")</f>
        <v/>
      </c>
      <c r="X17" s="10">
        <f>IF('IP Triangle'!X17&gt;0,'IP Triangle'!Y17/'IP Triangle'!X17,"")</f>
        <v/>
      </c>
      <c r="Y17" s="10">
        <f>IF('IP Triangle'!Y17&gt;0,'IP Triangle'!Z17/'IP Triangle'!Y17,"")</f>
        <v/>
      </c>
      <c r="Z17" s="10">
        <f>IF('IP Triangle'!Z17&gt;0,'IP Triangle'!AA17/'IP Triangle'!Z17,"")</f>
        <v/>
      </c>
      <c r="AA17" s="11">
        <f>IF('IP Triangle'!AA17&gt;0,'IP Triangle'!AB17/'IP Triangle'!AA17,"")</f>
        <v/>
      </c>
      <c r="AB17" s="11">
        <f>IF('IP Triangle'!AB17&gt;0,'IP Triangle'!AC17/'IP Triangle'!AB17,"")</f>
        <v/>
      </c>
      <c r="AC17" s="10">
        <f>IF('IP Triangle'!AC17&gt;0,'IP Triangle'!AD17/'IP Triangle'!AC17,"")</f>
        <v/>
      </c>
      <c r="AD17" s="10">
        <f>IF('IP Triangle'!AD17&gt;0,'IP Triangle'!AE17/'IP Triangle'!AD17,"")</f>
        <v/>
      </c>
    </row>
    <row r="18">
      <c r="A18" s="6" t="inlineStr">
        <is>
          <t>2024-05</t>
        </is>
      </c>
      <c r="B18" s="10">
        <f>IF('IP Triangle'!B18&gt;0,'IP Triangle'!C18/'IP Triangle'!B18,"")</f>
        <v/>
      </c>
      <c r="C18" s="10">
        <f>IF('IP Triangle'!C18&gt;0,'IP Triangle'!D18/'IP Triangle'!C18,"")</f>
        <v/>
      </c>
      <c r="D18" s="10">
        <f>IF('IP Triangle'!D18&gt;0,'IP Triangle'!E18/'IP Triangle'!D18,"")</f>
        <v/>
      </c>
      <c r="E18" s="10">
        <f>IF('IP Triangle'!E18&gt;0,'IP Triangle'!F18/'IP Triangle'!E18,"")</f>
        <v/>
      </c>
      <c r="F18" s="10">
        <f>IF('IP Triangle'!F18&gt;0,'IP Triangle'!G18/'IP Triangle'!F18,"")</f>
        <v/>
      </c>
      <c r="G18" s="10">
        <f>IF('IP Triangle'!G18&gt;0,'IP Triangle'!H18/'IP Triangle'!G18,"")</f>
        <v/>
      </c>
      <c r="H18" s="10">
        <f>IF('IP Triangle'!H18&gt;0,'IP Triangle'!I18/'IP Triangle'!H18,"")</f>
        <v/>
      </c>
      <c r="I18" s="10">
        <f>IF('IP Triangle'!I18&gt;0,'IP Triangle'!J18/'IP Triangle'!I18,"")</f>
        <v/>
      </c>
      <c r="J18" s="10">
        <f>IF('IP Triangle'!J18&gt;0,'IP Triangle'!K18/'IP Triangle'!J18,"")</f>
        <v/>
      </c>
      <c r="K18" s="10">
        <f>IF('IP Triangle'!K18&gt;0,'IP Triangle'!L18/'IP Triangle'!K18,"")</f>
        <v/>
      </c>
      <c r="L18" s="10">
        <f>IF('IP Triangle'!L18&gt;0,'IP Triangle'!M18/'IP Triangle'!L18,"")</f>
        <v/>
      </c>
      <c r="M18" s="10">
        <f>IF('IP Triangle'!M18&gt;0,'IP Triangle'!N18/'IP Triangle'!M18,"")</f>
        <v/>
      </c>
      <c r="N18" s="10">
        <f>IF('IP Triangle'!N18&gt;0,'IP Triangle'!O18/'IP Triangle'!N18,"")</f>
        <v/>
      </c>
      <c r="O18" s="10">
        <f>IF('IP Triangle'!O18&gt;0,'IP Triangle'!P18/'IP Triangle'!O18,"")</f>
        <v/>
      </c>
      <c r="P18" s="10">
        <f>IF('IP Triangle'!P18&gt;0,'IP Triangle'!Q18/'IP Triangle'!P18,"")</f>
        <v/>
      </c>
      <c r="Q18" s="10">
        <f>IF('IP Triangle'!Q18&gt;0,'IP Triangle'!R18/'IP Triangle'!Q18,"")</f>
        <v/>
      </c>
      <c r="R18" s="10">
        <f>IF('IP Triangle'!R18&gt;0,'IP Triangle'!S18/'IP Triangle'!R18,"")</f>
        <v/>
      </c>
      <c r="S18" s="10">
        <f>IF('IP Triangle'!S18&gt;0,'IP Triangle'!T18/'IP Triangle'!S18,"")</f>
        <v/>
      </c>
      <c r="T18" s="10">
        <f>IF('IP Triangle'!T18&gt;0,'IP Triangle'!U18/'IP Triangle'!T18,"")</f>
        <v/>
      </c>
      <c r="U18" s="10">
        <f>IF('IP Triangle'!U18&gt;0,'IP Triangle'!V18/'IP Triangle'!U18,"")</f>
        <v/>
      </c>
      <c r="V18" s="10">
        <f>IF('IP Triangle'!V18&gt;0,'IP Triangle'!W18/'IP Triangle'!V18,"")</f>
        <v/>
      </c>
      <c r="W18" s="10">
        <f>IF('IP Triangle'!W18&gt;0,'IP Triangle'!X18/'IP Triangle'!W18,"")</f>
        <v/>
      </c>
      <c r="X18" s="10">
        <f>IF('IP Triangle'!X18&gt;0,'IP Triangle'!Y18/'IP Triangle'!X18,"")</f>
        <v/>
      </c>
      <c r="Y18" s="10">
        <f>IF('IP Triangle'!Y18&gt;0,'IP Triangle'!Z18/'IP Triangle'!Y18,"")</f>
        <v/>
      </c>
      <c r="Z18" s="11">
        <f>IF('IP Triangle'!Z18&gt;0,'IP Triangle'!AA18/'IP Triangle'!Z18,"")</f>
        <v/>
      </c>
      <c r="AA18" s="11">
        <f>IF('IP Triangle'!AA18&gt;0,'IP Triangle'!AB18/'IP Triangle'!AA18,"")</f>
        <v/>
      </c>
      <c r="AB18" s="10">
        <f>IF('IP Triangle'!AB18&gt;0,'IP Triangle'!AC18/'IP Triangle'!AB18,"")</f>
        <v/>
      </c>
      <c r="AC18" s="10">
        <f>IF('IP Triangle'!AC18&gt;0,'IP Triangle'!AD18/'IP Triangle'!AC18,"")</f>
        <v/>
      </c>
    </row>
    <row r="19">
      <c r="A19" s="6" t="inlineStr">
        <is>
          <t>2024-06</t>
        </is>
      </c>
      <c r="B19" s="10">
        <f>IF('IP Triangle'!B19&gt;0,'IP Triangle'!C19/'IP Triangle'!B19,"")</f>
        <v/>
      </c>
      <c r="C19" s="10">
        <f>IF('IP Triangle'!C19&gt;0,'IP Triangle'!D19/'IP Triangle'!C19,"")</f>
        <v/>
      </c>
      <c r="D19" s="10">
        <f>IF('IP Triangle'!D19&gt;0,'IP Triangle'!E19/'IP Triangle'!D19,"")</f>
        <v/>
      </c>
      <c r="E19" s="10">
        <f>IF('IP Triangle'!E19&gt;0,'IP Triangle'!F19/'IP Triangle'!E19,"")</f>
        <v/>
      </c>
      <c r="F19" s="10">
        <f>IF('IP Triangle'!F19&gt;0,'IP Triangle'!G19/'IP Triangle'!F19,"")</f>
        <v/>
      </c>
      <c r="G19" s="10">
        <f>IF('IP Triangle'!G19&gt;0,'IP Triangle'!H19/'IP Triangle'!G19,"")</f>
        <v/>
      </c>
      <c r="H19" s="10">
        <f>IF('IP Triangle'!H19&gt;0,'IP Triangle'!I19/'IP Triangle'!H19,"")</f>
        <v/>
      </c>
      <c r="I19" s="10">
        <f>IF('IP Triangle'!I19&gt;0,'IP Triangle'!J19/'IP Triangle'!I19,"")</f>
        <v/>
      </c>
      <c r="J19" s="10">
        <f>IF('IP Triangle'!J19&gt;0,'IP Triangle'!K19/'IP Triangle'!J19,"")</f>
        <v/>
      </c>
      <c r="K19" s="10">
        <f>IF('IP Triangle'!K19&gt;0,'IP Triangle'!L19/'IP Triangle'!K19,"")</f>
        <v/>
      </c>
      <c r="L19" s="10">
        <f>IF('IP Triangle'!L19&gt;0,'IP Triangle'!M19/'IP Triangle'!L19,"")</f>
        <v/>
      </c>
      <c r="M19" s="10">
        <f>IF('IP Triangle'!M19&gt;0,'IP Triangle'!N19/'IP Triangle'!M19,"")</f>
        <v/>
      </c>
      <c r="N19" s="10">
        <f>IF('IP Triangle'!N19&gt;0,'IP Triangle'!O19/'IP Triangle'!N19,"")</f>
        <v/>
      </c>
      <c r="O19" s="10">
        <f>IF('IP Triangle'!O19&gt;0,'IP Triangle'!P19/'IP Triangle'!O19,"")</f>
        <v/>
      </c>
      <c r="P19" s="10">
        <f>IF('IP Triangle'!P19&gt;0,'IP Triangle'!Q19/'IP Triangle'!P19,"")</f>
        <v/>
      </c>
      <c r="Q19" s="10">
        <f>IF('IP Triangle'!Q19&gt;0,'IP Triangle'!R19/'IP Triangle'!Q19,"")</f>
        <v/>
      </c>
      <c r="R19" s="10">
        <f>IF('IP Triangle'!R19&gt;0,'IP Triangle'!S19/'IP Triangle'!R19,"")</f>
        <v/>
      </c>
      <c r="S19" s="10">
        <f>IF('IP Triangle'!S19&gt;0,'IP Triangle'!T19/'IP Triangle'!S19,"")</f>
        <v/>
      </c>
      <c r="T19" s="10">
        <f>IF('IP Triangle'!T19&gt;0,'IP Triangle'!U19/'IP Triangle'!T19,"")</f>
        <v/>
      </c>
      <c r="U19" s="10">
        <f>IF('IP Triangle'!U19&gt;0,'IP Triangle'!V19/'IP Triangle'!U19,"")</f>
        <v/>
      </c>
      <c r="V19" s="10">
        <f>IF('IP Triangle'!V19&gt;0,'IP Triangle'!W19/'IP Triangle'!V19,"")</f>
        <v/>
      </c>
      <c r="W19" s="10">
        <f>IF('IP Triangle'!W19&gt;0,'IP Triangle'!X19/'IP Triangle'!W19,"")</f>
        <v/>
      </c>
      <c r="X19" s="10">
        <f>IF('IP Triangle'!X19&gt;0,'IP Triangle'!Y19/'IP Triangle'!X19,"")</f>
        <v/>
      </c>
      <c r="Y19" s="11">
        <f>IF('IP Triangle'!Y19&gt;0,'IP Triangle'!Z19/'IP Triangle'!Y19,"")</f>
        <v/>
      </c>
      <c r="Z19" s="11">
        <f>IF('IP Triangle'!Z19&gt;0,'IP Triangle'!AA19/'IP Triangle'!Z19,"")</f>
        <v/>
      </c>
      <c r="AA19" s="10">
        <f>IF('IP Triangle'!AA19&gt;0,'IP Triangle'!AB19/'IP Triangle'!AA19,"")</f>
        <v/>
      </c>
      <c r="AB19" s="10">
        <f>IF('IP Triangle'!AB19&gt;0,'IP Triangle'!AC19/'IP Triangle'!AB19,"")</f>
        <v/>
      </c>
    </row>
    <row r="20">
      <c r="A20" s="6" t="inlineStr">
        <is>
          <t>2024-07</t>
        </is>
      </c>
      <c r="B20" s="10">
        <f>IF('IP Triangle'!B20&gt;0,'IP Triangle'!C20/'IP Triangle'!B20,"")</f>
        <v/>
      </c>
      <c r="C20" s="10">
        <f>IF('IP Triangle'!C20&gt;0,'IP Triangle'!D20/'IP Triangle'!C20,"")</f>
        <v/>
      </c>
      <c r="D20" s="10">
        <f>IF('IP Triangle'!D20&gt;0,'IP Triangle'!E20/'IP Triangle'!D20,"")</f>
        <v/>
      </c>
      <c r="E20" s="10">
        <f>IF('IP Triangle'!E20&gt;0,'IP Triangle'!F20/'IP Triangle'!E20,"")</f>
        <v/>
      </c>
      <c r="F20" s="10">
        <f>IF('IP Triangle'!F20&gt;0,'IP Triangle'!G20/'IP Triangle'!F20,"")</f>
        <v/>
      </c>
      <c r="G20" s="10">
        <f>IF('IP Triangle'!G20&gt;0,'IP Triangle'!H20/'IP Triangle'!G20,"")</f>
        <v/>
      </c>
      <c r="H20" s="10">
        <f>IF('IP Triangle'!H20&gt;0,'IP Triangle'!I20/'IP Triangle'!H20,"")</f>
        <v/>
      </c>
      <c r="I20" s="10">
        <f>IF('IP Triangle'!I20&gt;0,'IP Triangle'!J20/'IP Triangle'!I20,"")</f>
        <v/>
      </c>
      <c r="J20" s="10">
        <f>IF('IP Triangle'!J20&gt;0,'IP Triangle'!K20/'IP Triangle'!J20,"")</f>
        <v/>
      </c>
      <c r="K20" s="10">
        <f>IF('IP Triangle'!K20&gt;0,'IP Triangle'!L20/'IP Triangle'!K20,"")</f>
        <v/>
      </c>
      <c r="L20" s="10">
        <f>IF('IP Triangle'!L20&gt;0,'IP Triangle'!M20/'IP Triangle'!L20,"")</f>
        <v/>
      </c>
      <c r="M20" s="10">
        <f>IF('IP Triangle'!M20&gt;0,'IP Triangle'!N20/'IP Triangle'!M20,"")</f>
        <v/>
      </c>
      <c r="N20" s="10">
        <f>IF('IP Triangle'!N20&gt;0,'IP Triangle'!O20/'IP Triangle'!N20,"")</f>
        <v/>
      </c>
      <c r="O20" s="10">
        <f>IF('IP Triangle'!O20&gt;0,'IP Triangle'!P20/'IP Triangle'!O20,"")</f>
        <v/>
      </c>
      <c r="P20" s="10">
        <f>IF('IP Triangle'!P20&gt;0,'IP Triangle'!Q20/'IP Triangle'!P20,"")</f>
        <v/>
      </c>
      <c r="Q20" s="10">
        <f>IF('IP Triangle'!Q20&gt;0,'IP Triangle'!R20/'IP Triangle'!Q20,"")</f>
        <v/>
      </c>
      <c r="R20" s="10">
        <f>IF('IP Triangle'!R20&gt;0,'IP Triangle'!S20/'IP Triangle'!R20,"")</f>
        <v/>
      </c>
      <c r="S20" s="10">
        <f>IF('IP Triangle'!S20&gt;0,'IP Triangle'!T20/'IP Triangle'!S20,"")</f>
        <v/>
      </c>
      <c r="T20" s="10">
        <f>IF('IP Triangle'!T20&gt;0,'IP Triangle'!U20/'IP Triangle'!T20,"")</f>
        <v/>
      </c>
      <c r="U20" s="10">
        <f>IF('IP Triangle'!U20&gt;0,'IP Triangle'!V20/'IP Triangle'!U20,"")</f>
        <v/>
      </c>
      <c r="V20" s="10">
        <f>IF('IP Triangle'!V20&gt;0,'IP Triangle'!W20/'IP Triangle'!V20,"")</f>
        <v/>
      </c>
      <c r="W20" s="10">
        <f>IF('IP Triangle'!W20&gt;0,'IP Triangle'!X20/'IP Triangle'!W20,"")</f>
        <v/>
      </c>
      <c r="X20" s="11">
        <f>IF('IP Triangle'!X20&gt;0,'IP Triangle'!Y20/'IP Triangle'!X20,"")</f>
        <v/>
      </c>
      <c r="Y20" s="11">
        <f>IF('IP Triangle'!Y20&gt;0,'IP Triangle'!Z20/'IP Triangle'!Y20,"")</f>
        <v/>
      </c>
      <c r="Z20" s="10">
        <f>IF('IP Triangle'!Z20&gt;0,'IP Triangle'!AA20/'IP Triangle'!Z20,"")</f>
        <v/>
      </c>
      <c r="AA20" s="10">
        <f>IF('IP Triangle'!AA20&gt;0,'IP Triangle'!AB20/'IP Triangle'!AA20,"")</f>
        <v/>
      </c>
    </row>
    <row r="21">
      <c r="A21" s="6" t="inlineStr">
        <is>
          <t>2024-08</t>
        </is>
      </c>
      <c r="B21" s="10">
        <f>IF('IP Triangle'!B21&gt;0,'IP Triangle'!C21/'IP Triangle'!B21,"")</f>
        <v/>
      </c>
      <c r="C21" s="10">
        <f>IF('IP Triangle'!C21&gt;0,'IP Triangle'!D21/'IP Triangle'!C21,"")</f>
        <v/>
      </c>
      <c r="D21" s="10">
        <f>IF('IP Triangle'!D21&gt;0,'IP Triangle'!E21/'IP Triangle'!D21,"")</f>
        <v/>
      </c>
      <c r="E21" s="10">
        <f>IF('IP Triangle'!E21&gt;0,'IP Triangle'!F21/'IP Triangle'!E21,"")</f>
        <v/>
      </c>
      <c r="F21" s="10">
        <f>IF('IP Triangle'!F21&gt;0,'IP Triangle'!G21/'IP Triangle'!F21,"")</f>
        <v/>
      </c>
      <c r="G21" s="10">
        <f>IF('IP Triangle'!G21&gt;0,'IP Triangle'!H21/'IP Triangle'!G21,"")</f>
        <v/>
      </c>
      <c r="H21" s="10">
        <f>IF('IP Triangle'!H21&gt;0,'IP Triangle'!I21/'IP Triangle'!H21,"")</f>
        <v/>
      </c>
      <c r="I21" s="10">
        <f>IF('IP Triangle'!I21&gt;0,'IP Triangle'!J21/'IP Triangle'!I21,"")</f>
        <v/>
      </c>
      <c r="J21" s="10">
        <f>IF('IP Triangle'!J21&gt;0,'IP Triangle'!K21/'IP Triangle'!J21,"")</f>
        <v/>
      </c>
      <c r="K21" s="10">
        <f>IF('IP Triangle'!K21&gt;0,'IP Triangle'!L21/'IP Triangle'!K21,"")</f>
        <v/>
      </c>
      <c r="L21" s="10">
        <f>IF('IP Triangle'!L21&gt;0,'IP Triangle'!M21/'IP Triangle'!L21,"")</f>
        <v/>
      </c>
      <c r="M21" s="10">
        <f>IF('IP Triangle'!M21&gt;0,'IP Triangle'!N21/'IP Triangle'!M21,"")</f>
        <v/>
      </c>
      <c r="N21" s="10">
        <f>IF('IP Triangle'!N21&gt;0,'IP Triangle'!O21/'IP Triangle'!N21,"")</f>
        <v/>
      </c>
      <c r="O21" s="10">
        <f>IF('IP Triangle'!O21&gt;0,'IP Triangle'!P21/'IP Triangle'!O21,"")</f>
        <v/>
      </c>
      <c r="P21" s="10">
        <f>IF('IP Triangle'!P21&gt;0,'IP Triangle'!Q21/'IP Triangle'!P21,"")</f>
        <v/>
      </c>
      <c r="Q21" s="10">
        <f>IF('IP Triangle'!Q21&gt;0,'IP Triangle'!R21/'IP Triangle'!Q21,"")</f>
        <v/>
      </c>
      <c r="R21" s="10">
        <f>IF('IP Triangle'!R21&gt;0,'IP Triangle'!S21/'IP Triangle'!R21,"")</f>
        <v/>
      </c>
      <c r="S21" s="10">
        <f>IF('IP Triangle'!S21&gt;0,'IP Triangle'!T21/'IP Triangle'!S21,"")</f>
        <v/>
      </c>
      <c r="T21" s="10">
        <f>IF('IP Triangle'!T21&gt;0,'IP Triangle'!U21/'IP Triangle'!T21,"")</f>
        <v/>
      </c>
      <c r="U21" s="10">
        <f>IF('IP Triangle'!U21&gt;0,'IP Triangle'!V21/'IP Triangle'!U21,"")</f>
        <v/>
      </c>
      <c r="V21" s="10">
        <f>IF('IP Triangle'!V21&gt;0,'IP Triangle'!W21/'IP Triangle'!V21,"")</f>
        <v/>
      </c>
      <c r="W21" s="11">
        <f>IF('IP Triangle'!W21&gt;0,'IP Triangle'!X21/'IP Triangle'!W21,"")</f>
        <v/>
      </c>
      <c r="X21" s="11">
        <f>IF('IP Triangle'!X21&gt;0,'IP Triangle'!Y21/'IP Triangle'!X21,"")</f>
        <v/>
      </c>
      <c r="Y21" s="10">
        <f>IF('IP Triangle'!Y21&gt;0,'IP Triangle'!Z21/'IP Triangle'!Y21,"")</f>
        <v/>
      </c>
      <c r="Z21" s="10">
        <f>IF('IP Triangle'!Z21&gt;0,'IP Triangle'!AA21/'IP Triangle'!Z21,"")</f>
        <v/>
      </c>
    </row>
    <row r="22">
      <c r="A22" s="6" t="inlineStr">
        <is>
          <t>2024-09</t>
        </is>
      </c>
      <c r="B22" s="10">
        <f>IF('IP Triangle'!B22&gt;0,'IP Triangle'!C22/'IP Triangle'!B22,"")</f>
        <v/>
      </c>
      <c r="C22" s="10">
        <f>IF('IP Triangle'!C22&gt;0,'IP Triangle'!D22/'IP Triangle'!C22,"")</f>
        <v/>
      </c>
      <c r="D22" s="10">
        <f>IF('IP Triangle'!D22&gt;0,'IP Triangle'!E22/'IP Triangle'!D22,"")</f>
        <v/>
      </c>
      <c r="E22" s="10">
        <f>IF('IP Triangle'!E22&gt;0,'IP Triangle'!F22/'IP Triangle'!E22,"")</f>
        <v/>
      </c>
      <c r="F22" s="10">
        <f>IF('IP Triangle'!F22&gt;0,'IP Triangle'!G22/'IP Triangle'!F22,"")</f>
        <v/>
      </c>
      <c r="G22" s="10">
        <f>IF('IP Triangle'!G22&gt;0,'IP Triangle'!H22/'IP Triangle'!G22,"")</f>
        <v/>
      </c>
      <c r="H22" s="10">
        <f>IF('IP Triangle'!H22&gt;0,'IP Triangle'!I22/'IP Triangle'!H22,"")</f>
        <v/>
      </c>
      <c r="I22" s="10">
        <f>IF('IP Triangle'!I22&gt;0,'IP Triangle'!J22/'IP Triangle'!I22,"")</f>
        <v/>
      </c>
      <c r="J22" s="10">
        <f>IF('IP Triangle'!J22&gt;0,'IP Triangle'!K22/'IP Triangle'!J22,"")</f>
        <v/>
      </c>
      <c r="K22" s="10">
        <f>IF('IP Triangle'!K22&gt;0,'IP Triangle'!L22/'IP Triangle'!K22,"")</f>
        <v/>
      </c>
      <c r="L22" s="10">
        <f>IF('IP Triangle'!L22&gt;0,'IP Triangle'!M22/'IP Triangle'!L22,"")</f>
        <v/>
      </c>
      <c r="M22" s="10">
        <f>IF('IP Triangle'!M22&gt;0,'IP Triangle'!N22/'IP Triangle'!M22,"")</f>
        <v/>
      </c>
      <c r="N22" s="10">
        <f>IF('IP Triangle'!N22&gt;0,'IP Triangle'!O22/'IP Triangle'!N22,"")</f>
        <v/>
      </c>
      <c r="O22" s="10">
        <f>IF('IP Triangle'!O22&gt;0,'IP Triangle'!P22/'IP Triangle'!O22,"")</f>
        <v/>
      </c>
      <c r="P22" s="10">
        <f>IF('IP Triangle'!P22&gt;0,'IP Triangle'!Q22/'IP Triangle'!P22,"")</f>
        <v/>
      </c>
      <c r="Q22" s="10">
        <f>IF('IP Triangle'!Q22&gt;0,'IP Triangle'!R22/'IP Triangle'!Q22,"")</f>
        <v/>
      </c>
      <c r="R22" s="10">
        <f>IF('IP Triangle'!R22&gt;0,'IP Triangle'!S22/'IP Triangle'!R22,"")</f>
        <v/>
      </c>
      <c r="S22" s="10">
        <f>IF('IP Triangle'!S22&gt;0,'IP Triangle'!T22/'IP Triangle'!S22,"")</f>
        <v/>
      </c>
      <c r="T22" s="10">
        <f>IF('IP Triangle'!T22&gt;0,'IP Triangle'!U22/'IP Triangle'!T22,"")</f>
        <v/>
      </c>
      <c r="U22" s="10">
        <f>IF('IP Triangle'!U22&gt;0,'IP Triangle'!V22/'IP Triangle'!U22,"")</f>
        <v/>
      </c>
      <c r="V22" s="11">
        <f>IF('IP Triangle'!V22&gt;0,'IP Triangle'!W22/'IP Triangle'!V22,"")</f>
        <v/>
      </c>
      <c r="W22" s="11">
        <f>IF('IP Triangle'!W22&gt;0,'IP Triangle'!X22/'IP Triangle'!W22,"")</f>
        <v/>
      </c>
      <c r="X22" s="10">
        <f>IF('IP Triangle'!X22&gt;0,'IP Triangle'!Y22/'IP Triangle'!X22,"")</f>
        <v/>
      </c>
      <c r="Y22" s="10">
        <f>IF('IP Triangle'!Y22&gt;0,'IP Triangle'!Z22/'IP Triangle'!Y22,"")</f>
        <v/>
      </c>
    </row>
    <row r="23">
      <c r="A23" s="6" t="inlineStr">
        <is>
          <t>2024-10</t>
        </is>
      </c>
      <c r="B23" s="10">
        <f>IF('IP Triangle'!B23&gt;0,'IP Triangle'!C23/'IP Triangle'!B23,"")</f>
        <v/>
      </c>
      <c r="C23" s="10">
        <f>IF('IP Triangle'!C23&gt;0,'IP Triangle'!D23/'IP Triangle'!C23,"")</f>
        <v/>
      </c>
      <c r="D23" s="10">
        <f>IF('IP Triangle'!D23&gt;0,'IP Triangle'!E23/'IP Triangle'!D23,"")</f>
        <v/>
      </c>
      <c r="E23" s="10">
        <f>IF('IP Triangle'!E23&gt;0,'IP Triangle'!F23/'IP Triangle'!E23,"")</f>
        <v/>
      </c>
      <c r="F23" s="10">
        <f>IF('IP Triangle'!F23&gt;0,'IP Triangle'!G23/'IP Triangle'!F23,"")</f>
        <v/>
      </c>
      <c r="G23" s="10">
        <f>IF('IP Triangle'!G23&gt;0,'IP Triangle'!H23/'IP Triangle'!G23,"")</f>
        <v/>
      </c>
      <c r="H23" s="10">
        <f>IF('IP Triangle'!H23&gt;0,'IP Triangle'!I23/'IP Triangle'!H23,"")</f>
        <v/>
      </c>
      <c r="I23" s="10">
        <f>IF('IP Triangle'!I23&gt;0,'IP Triangle'!J23/'IP Triangle'!I23,"")</f>
        <v/>
      </c>
      <c r="J23" s="10">
        <f>IF('IP Triangle'!J23&gt;0,'IP Triangle'!K23/'IP Triangle'!J23,"")</f>
        <v/>
      </c>
      <c r="K23" s="10">
        <f>IF('IP Triangle'!K23&gt;0,'IP Triangle'!L23/'IP Triangle'!K23,"")</f>
        <v/>
      </c>
      <c r="L23" s="10">
        <f>IF('IP Triangle'!L23&gt;0,'IP Triangle'!M23/'IP Triangle'!L23,"")</f>
        <v/>
      </c>
      <c r="M23" s="10">
        <f>IF('IP Triangle'!M23&gt;0,'IP Triangle'!N23/'IP Triangle'!M23,"")</f>
        <v/>
      </c>
      <c r="N23" s="10">
        <f>IF('IP Triangle'!N23&gt;0,'IP Triangle'!O23/'IP Triangle'!N23,"")</f>
        <v/>
      </c>
      <c r="O23" s="10">
        <f>IF('IP Triangle'!O23&gt;0,'IP Triangle'!P23/'IP Triangle'!O23,"")</f>
        <v/>
      </c>
      <c r="P23" s="10">
        <f>IF('IP Triangle'!P23&gt;0,'IP Triangle'!Q23/'IP Triangle'!P23,"")</f>
        <v/>
      </c>
      <c r="Q23" s="10">
        <f>IF('IP Triangle'!Q23&gt;0,'IP Triangle'!R23/'IP Triangle'!Q23,"")</f>
        <v/>
      </c>
      <c r="R23" s="10">
        <f>IF('IP Triangle'!R23&gt;0,'IP Triangle'!S23/'IP Triangle'!R23,"")</f>
        <v/>
      </c>
      <c r="S23" s="10">
        <f>IF('IP Triangle'!S23&gt;0,'IP Triangle'!T23/'IP Triangle'!S23,"")</f>
        <v/>
      </c>
      <c r="T23" s="10">
        <f>IF('IP Triangle'!T23&gt;0,'IP Triangle'!U23/'IP Triangle'!T23,"")</f>
        <v/>
      </c>
      <c r="U23" s="11">
        <f>IF('IP Triangle'!U23&gt;0,'IP Triangle'!V23/'IP Triangle'!U23,"")</f>
        <v/>
      </c>
      <c r="V23" s="11">
        <f>IF('IP Triangle'!V23&gt;0,'IP Triangle'!W23/'IP Triangle'!V23,"")</f>
        <v/>
      </c>
      <c r="W23" s="10">
        <f>IF('IP Triangle'!W23&gt;0,'IP Triangle'!X23/'IP Triangle'!W23,"")</f>
        <v/>
      </c>
      <c r="X23" s="10">
        <f>IF('IP Triangle'!X23&gt;0,'IP Triangle'!Y23/'IP Triangle'!X23,"")</f>
        <v/>
      </c>
    </row>
    <row r="24">
      <c r="A24" s="6" t="inlineStr">
        <is>
          <t>2024-11</t>
        </is>
      </c>
      <c r="B24" s="10">
        <f>IF('IP Triangle'!B24&gt;0,'IP Triangle'!C24/'IP Triangle'!B24,"")</f>
        <v/>
      </c>
      <c r="C24" s="10">
        <f>IF('IP Triangle'!C24&gt;0,'IP Triangle'!D24/'IP Triangle'!C24,"")</f>
        <v/>
      </c>
      <c r="D24" s="10">
        <f>IF('IP Triangle'!D24&gt;0,'IP Triangle'!E24/'IP Triangle'!D24,"")</f>
        <v/>
      </c>
      <c r="E24" s="10">
        <f>IF('IP Triangle'!E24&gt;0,'IP Triangle'!F24/'IP Triangle'!E24,"")</f>
        <v/>
      </c>
      <c r="F24" s="10">
        <f>IF('IP Triangle'!F24&gt;0,'IP Triangle'!G24/'IP Triangle'!F24,"")</f>
        <v/>
      </c>
      <c r="G24" s="10">
        <f>IF('IP Triangle'!G24&gt;0,'IP Triangle'!H24/'IP Triangle'!G24,"")</f>
        <v/>
      </c>
      <c r="H24" s="10">
        <f>IF('IP Triangle'!H24&gt;0,'IP Triangle'!I24/'IP Triangle'!H24,"")</f>
        <v/>
      </c>
      <c r="I24" s="10">
        <f>IF('IP Triangle'!I24&gt;0,'IP Triangle'!J24/'IP Triangle'!I24,"")</f>
        <v/>
      </c>
      <c r="J24" s="10">
        <f>IF('IP Triangle'!J24&gt;0,'IP Triangle'!K24/'IP Triangle'!J24,"")</f>
        <v/>
      </c>
      <c r="K24" s="10">
        <f>IF('IP Triangle'!K24&gt;0,'IP Triangle'!L24/'IP Triangle'!K24,"")</f>
        <v/>
      </c>
      <c r="L24" s="10">
        <f>IF('IP Triangle'!L24&gt;0,'IP Triangle'!M24/'IP Triangle'!L24,"")</f>
        <v/>
      </c>
      <c r="M24" s="10">
        <f>IF('IP Triangle'!M24&gt;0,'IP Triangle'!N24/'IP Triangle'!M24,"")</f>
        <v/>
      </c>
      <c r="N24" s="10">
        <f>IF('IP Triangle'!N24&gt;0,'IP Triangle'!O24/'IP Triangle'!N24,"")</f>
        <v/>
      </c>
      <c r="O24" s="10">
        <f>IF('IP Triangle'!O24&gt;0,'IP Triangle'!P24/'IP Triangle'!O24,"")</f>
        <v/>
      </c>
      <c r="P24" s="10">
        <f>IF('IP Triangle'!P24&gt;0,'IP Triangle'!Q24/'IP Triangle'!P24,"")</f>
        <v/>
      </c>
      <c r="Q24" s="10">
        <f>IF('IP Triangle'!Q24&gt;0,'IP Triangle'!R24/'IP Triangle'!Q24,"")</f>
        <v/>
      </c>
      <c r="R24" s="10">
        <f>IF('IP Triangle'!R24&gt;0,'IP Triangle'!S24/'IP Triangle'!R24,"")</f>
        <v/>
      </c>
      <c r="S24" s="10">
        <f>IF('IP Triangle'!S24&gt;0,'IP Triangle'!T24/'IP Triangle'!S24,"")</f>
        <v/>
      </c>
      <c r="T24" s="11">
        <f>IF('IP Triangle'!T24&gt;0,'IP Triangle'!U24/'IP Triangle'!T24,"")</f>
        <v/>
      </c>
      <c r="U24" s="11">
        <f>IF('IP Triangle'!U24&gt;0,'IP Triangle'!V24/'IP Triangle'!U24,"")</f>
        <v/>
      </c>
      <c r="V24" s="10">
        <f>IF('IP Triangle'!V24&gt;0,'IP Triangle'!W24/'IP Triangle'!V24,"")</f>
        <v/>
      </c>
      <c r="W24" s="10">
        <f>IF('IP Triangle'!W24&gt;0,'IP Triangle'!X24/'IP Triangle'!W24,"")</f>
        <v/>
      </c>
    </row>
    <row r="25">
      <c r="A25" s="6" t="inlineStr">
        <is>
          <t>2024-12</t>
        </is>
      </c>
      <c r="B25" s="10">
        <f>IF('IP Triangle'!B25&gt;0,'IP Triangle'!C25/'IP Triangle'!B25,"")</f>
        <v/>
      </c>
      <c r="C25" s="10">
        <f>IF('IP Triangle'!C25&gt;0,'IP Triangle'!D25/'IP Triangle'!C25,"")</f>
        <v/>
      </c>
      <c r="D25" s="10">
        <f>IF('IP Triangle'!D25&gt;0,'IP Triangle'!E25/'IP Triangle'!D25,"")</f>
        <v/>
      </c>
      <c r="E25" s="10">
        <f>IF('IP Triangle'!E25&gt;0,'IP Triangle'!F25/'IP Triangle'!E25,"")</f>
        <v/>
      </c>
      <c r="F25" s="10">
        <f>IF('IP Triangle'!F25&gt;0,'IP Triangle'!G25/'IP Triangle'!F25,"")</f>
        <v/>
      </c>
      <c r="G25" s="10">
        <f>IF('IP Triangle'!G25&gt;0,'IP Triangle'!H25/'IP Triangle'!G25,"")</f>
        <v/>
      </c>
      <c r="H25" s="10">
        <f>IF('IP Triangle'!H25&gt;0,'IP Triangle'!I25/'IP Triangle'!H25,"")</f>
        <v/>
      </c>
      <c r="I25" s="10">
        <f>IF('IP Triangle'!I25&gt;0,'IP Triangle'!J25/'IP Triangle'!I25,"")</f>
        <v/>
      </c>
      <c r="J25" s="10">
        <f>IF('IP Triangle'!J25&gt;0,'IP Triangle'!K25/'IP Triangle'!J25,"")</f>
        <v/>
      </c>
      <c r="K25" s="10">
        <f>IF('IP Triangle'!K25&gt;0,'IP Triangle'!L25/'IP Triangle'!K25,"")</f>
        <v/>
      </c>
      <c r="L25" s="10">
        <f>IF('IP Triangle'!L25&gt;0,'IP Triangle'!M25/'IP Triangle'!L25,"")</f>
        <v/>
      </c>
      <c r="M25" s="10">
        <f>IF('IP Triangle'!M25&gt;0,'IP Triangle'!N25/'IP Triangle'!M25,"")</f>
        <v/>
      </c>
      <c r="N25" s="10">
        <f>IF('IP Triangle'!N25&gt;0,'IP Triangle'!O25/'IP Triangle'!N25,"")</f>
        <v/>
      </c>
      <c r="O25" s="10">
        <f>IF('IP Triangle'!O25&gt;0,'IP Triangle'!P25/'IP Triangle'!O25,"")</f>
        <v/>
      </c>
      <c r="P25" s="10">
        <f>IF('IP Triangle'!P25&gt;0,'IP Triangle'!Q25/'IP Triangle'!P25,"")</f>
        <v/>
      </c>
      <c r="Q25" s="10">
        <f>IF('IP Triangle'!Q25&gt;0,'IP Triangle'!R25/'IP Triangle'!Q25,"")</f>
        <v/>
      </c>
      <c r="R25" s="10">
        <f>IF('IP Triangle'!R25&gt;0,'IP Triangle'!S25/'IP Triangle'!R25,"")</f>
        <v/>
      </c>
      <c r="S25" s="11">
        <f>IF('IP Triangle'!S25&gt;0,'IP Triangle'!T25/'IP Triangle'!S25,"")</f>
        <v/>
      </c>
      <c r="T25" s="11">
        <f>IF('IP Triangle'!T25&gt;0,'IP Triangle'!U25/'IP Triangle'!T25,"")</f>
        <v/>
      </c>
      <c r="U25" s="10">
        <f>IF('IP Triangle'!U25&gt;0,'IP Triangle'!V25/'IP Triangle'!U25,"")</f>
        <v/>
      </c>
      <c r="V25" s="10">
        <f>IF('IP Triangle'!V25&gt;0,'IP Triangle'!W25/'IP Triangle'!V25,"")</f>
        <v/>
      </c>
    </row>
    <row r="26">
      <c r="A26" s="6" t="inlineStr">
        <is>
          <t>2025-01</t>
        </is>
      </c>
      <c r="B26" s="10">
        <f>IF('IP Triangle'!B26&gt;0,'IP Triangle'!C26/'IP Triangle'!B26,"")</f>
        <v/>
      </c>
      <c r="C26" s="10">
        <f>IF('IP Triangle'!C26&gt;0,'IP Triangle'!D26/'IP Triangle'!C26,"")</f>
        <v/>
      </c>
      <c r="D26" s="10">
        <f>IF('IP Triangle'!D26&gt;0,'IP Triangle'!E26/'IP Triangle'!D26,"")</f>
        <v/>
      </c>
      <c r="E26" s="10">
        <f>IF('IP Triangle'!E26&gt;0,'IP Triangle'!F26/'IP Triangle'!E26,"")</f>
        <v/>
      </c>
      <c r="F26" s="10">
        <f>IF('IP Triangle'!F26&gt;0,'IP Triangle'!G26/'IP Triangle'!F26,"")</f>
        <v/>
      </c>
      <c r="G26" s="10">
        <f>IF('IP Triangle'!G26&gt;0,'IP Triangle'!H26/'IP Triangle'!G26,"")</f>
        <v/>
      </c>
      <c r="H26" s="10">
        <f>IF('IP Triangle'!H26&gt;0,'IP Triangle'!I26/'IP Triangle'!H26,"")</f>
        <v/>
      </c>
      <c r="I26" s="10">
        <f>IF('IP Triangle'!I26&gt;0,'IP Triangle'!J26/'IP Triangle'!I26,"")</f>
        <v/>
      </c>
      <c r="J26" s="10">
        <f>IF('IP Triangle'!J26&gt;0,'IP Triangle'!K26/'IP Triangle'!J26,"")</f>
        <v/>
      </c>
      <c r="K26" s="10">
        <f>IF('IP Triangle'!K26&gt;0,'IP Triangle'!L26/'IP Triangle'!K26,"")</f>
        <v/>
      </c>
      <c r="L26" s="10">
        <f>IF('IP Triangle'!L26&gt;0,'IP Triangle'!M26/'IP Triangle'!L26,"")</f>
        <v/>
      </c>
      <c r="M26" s="10">
        <f>IF('IP Triangle'!M26&gt;0,'IP Triangle'!N26/'IP Triangle'!M26,"")</f>
        <v/>
      </c>
      <c r="N26" s="10">
        <f>IF('IP Triangle'!N26&gt;0,'IP Triangle'!O26/'IP Triangle'!N26,"")</f>
        <v/>
      </c>
      <c r="O26" s="10">
        <f>IF('IP Triangle'!O26&gt;0,'IP Triangle'!P26/'IP Triangle'!O26,"")</f>
        <v/>
      </c>
      <c r="P26" s="10">
        <f>IF('IP Triangle'!P26&gt;0,'IP Triangle'!Q26/'IP Triangle'!P26,"")</f>
        <v/>
      </c>
      <c r="Q26" s="10">
        <f>IF('IP Triangle'!Q26&gt;0,'IP Triangle'!R26/'IP Triangle'!Q26,"")</f>
        <v/>
      </c>
      <c r="R26" s="11">
        <f>IF('IP Triangle'!R26&gt;0,'IP Triangle'!S26/'IP Triangle'!R26,"")</f>
        <v/>
      </c>
      <c r="S26" s="11">
        <f>IF('IP Triangle'!S26&gt;0,'IP Triangle'!T26/'IP Triangle'!S26,"")</f>
        <v/>
      </c>
      <c r="T26" s="10">
        <f>IF('IP Triangle'!T26&gt;0,'IP Triangle'!U26/'IP Triangle'!T26,"")</f>
        <v/>
      </c>
      <c r="U26" s="10">
        <f>IF('IP Triangle'!U26&gt;0,'IP Triangle'!V26/'IP Triangle'!U26,"")</f>
        <v/>
      </c>
    </row>
    <row r="27">
      <c r="A27" s="6" t="inlineStr">
        <is>
          <t>2025-02</t>
        </is>
      </c>
      <c r="B27" s="10">
        <f>IF('IP Triangle'!B27&gt;0,'IP Triangle'!C27/'IP Triangle'!B27,"")</f>
        <v/>
      </c>
      <c r="C27" s="10">
        <f>IF('IP Triangle'!C27&gt;0,'IP Triangle'!D27/'IP Triangle'!C27,"")</f>
        <v/>
      </c>
      <c r="D27" s="10">
        <f>IF('IP Triangle'!D27&gt;0,'IP Triangle'!E27/'IP Triangle'!D27,"")</f>
        <v/>
      </c>
      <c r="E27" s="10">
        <f>IF('IP Triangle'!E27&gt;0,'IP Triangle'!F27/'IP Triangle'!E27,"")</f>
        <v/>
      </c>
      <c r="F27" s="10">
        <f>IF('IP Triangle'!F27&gt;0,'IP Triangle'!G27/'IP Triangle'!F27,"")</f>
        <v/>
      </c>
      <c r="G27" s="10">
        <f>IF('IP Triangle'!G27&gt;0,'IP Triangle'!H27/'IP Triangle'!G27,"")</f>
        <v/>
      </c>
      <c r="H27" s="10">
        <f>IF('IP Triangle'!H27&gt;0,'IP Triangle'!I27/'IP Triangle'!H27,"")</f>
        <v/>
      </c>
      <c r="I27" s="10">
        <f>IF('IP Triangle'!I27&gt;0,'IP Triangle'!J27/'IP Triangle'!I27,"")</f>
        <v/>
      </c>
      <c r="J27" s="10">
        <f>IF('IP Triangle'!J27&gt;0,'IP Triangle'!K27/'IP Triangle'!J27,"")</f>
        <v/>
      </c>
      <c r="K27" s="10">
        <f>IF('IP Triangle'!K27&gt;0,'IP Triangle'!L27/'IP Triangle'!K27,"")</f>
        <v/>
      </c>
      <c r="L27" s="10">
        <f>IF('IP Triangle'!L27&gt;0,'IP Triangle'!M27/'IP Triangle'!L27,"")</f>
        <v/>
      </c>
      <c r="M27" s="10">
        <f>IF('IP Triangle'!M27&gt;0,'IP Triangle'!N27/'IP Triangle'!M27,"")</f>
        <v/>
      </c>
      <c r="N27" s="10">
        <f>IF('IP Triangle'!N27&gt;0,'IP Triangle'!O27/'IP Triangle'!N27,"")</f>
        <v/>
      </c>
      <c r="O27" s="10">
        <f>IF('IP Triangle'!O27&gt;0,'IP Triangle'!P27/'IP Triangle'!O27,"")</f>
        <v/>
      </c>
      <c r="P27" s="10">
        <f>IF('IP Triangle'!P27&gt;0,'IP Triangle'!Q27/'IP Triangle'!P27,"")</f>
        <v/>
      </c>
      <c r="Q27" s="11">
        <f>IF('IP Triangle'!Q27&gt;0,'IP Triangle'!R27/'IP Triangle'!Q27,"")</f>
        <v/>
      </c>
      <c r="R27" s="11">
        <f>IF('IP Triangle'!R27&gt;0,'IP Triangle'!S27/'IP Triangle'!R27,"")</f>
        <v/>
      </c>
      <c r="S27" s="10">
        <f>IF('IP Triangle'!S27&gt;0,'IP Triangle'!T27/'IP Triangle'!S27,"")</f>
        <v/>
      </c>
      <c r="T27" s="10">
        <f>IF('IP Triangle'!T27&gt;0,'IP Triangle'!U27/'IP Triangle'!T27,"")</f>
        <v/>
      </c>
    </row>
    <row r="28">
      <c r="A28" s="6" t="inlineStr">
        <is>
          <t>2025-03</t>
        </is>
      </c>
      <c r="B28" s="10">
        <f>IF('IP Triangle'!B28&gt;0,'IP Triangle'!C28/'IP Triangle'!B28,"")</f>
        <v/>
      </c>
      <c r="C28" s="10">
        <f>IF('IP Triangle'!C28&gt;0,'IP Triangle'!D28/'IP Triangle'!C28,"")</f>
        <v/>
      </c>
      <c r="D28" s="10">
        <f>IF('IP Triangle'!D28&gt;0,'IP Triangle'!E28/'IP Triangle'!D28,"")</f>
        <v/>
      </c>
      <c r="E28" s="10">
        <f>IF('IP Triangle'!E28&gt;0,'IP Triangle'!F28/'IP Triangle'!E28,"")</f>
        <v/>
      </c>
      <c r="F28" s="10">
        <f>IF('IP Triangle'!F28&gt;0,'IP Triangle'!G28/'IP Triangle'!F28,"")</f>
        <v/>
      </c>
      <c r="G28" s="10">
        <f>IF('IP Triangle'!G28&gt;0,'IP Triangle'!H28/'IP Triangle'!G28,"")</f>
        <v/>
      </c>
      <c r="H28" s="10">
        <f>IF('IP Triangle'!H28&gt;0,'IP Triangle'!I28/'IP Triangle'!H28,"")</f>
        <v/>
      </c>
      <c r="I28" s="10">
        <f>IF('IP Triangle'!I28&gt;0,'IP Triangle'!J28/'IP Triangle'!I28,"")</f>
        <v/>
      </c>
      <c r="J28" s="10">
        <f>IF('IP Triangle'!J28&gt;0,'IP Triangle'!K28/'IP Triangle'!J28,"")</f>
        <v/>
      </c>
      <c r="K28" s="10">
        <f>IF('IP Triangle'!K28&gt;0,'IP Triangle'!L28/'IP Triangle'!K28,"")</f>
        <v/>
      </c>
      <c r="L28" s="10">
        <f>IF('IP Triangle'!L28&gt;0,'IP Triangle'!M28/'IP Triangle'!L28,"")</f>
        <v/>
      </c>
      <c r="M28" s="10">
        <f>IF('IP Triangle'!M28&gt;0,'IP Triangle'!N28/'IP Triangle'!M28,"")</f>
        <v/>
      </c>
      <c r="N28" s="10">
        <f>IF('IP Triangle'!N28&gt;0,'IP Triangle'!O28/'IP Triangle'!N28,"")</f>
        <v/>
      </c>
      <c r="O28" s="10">
        <f>IF('IP Triangle'!O28&gt;0,'IP Triangle'!P28/'IP Triangle'!O28,"")</f>
        <v/>
      </c>
      <c r="P28" s="11">
        <f>IF('IP Triangle'!P28&gt;0,'IP Triangle'!Q28/'IP Triangle'!P28,"")</f>
        <v/>
      </c>
      <c r="Q28" s="11">
        <f>IF('IP Triangle'!Q28&gt;0,'IP Triangle'!R28/'IP Triangle'!Q28,"")</f>
        <v/>
      </c>
      <c r="R28" s="10">
        <f>IF('IP Triangle'!R28&gt;0,'IP Triangle'!S28/'IP Triangle'!R28,"")</f>
        <v/>
      </c>
      <c r="S28" s="10">
        <f>IF('IP Triangle'!S28&gt;0,'IP Triangle'!T28/'IP Triangle'!S28,"")</f>
        <v/>
      </c>
    </row>
    <row r="29">
      <c r="A29" s="6" t="inlineStr">
        <is>
          <t>2025-04</t>
        </is>
      </c>
      <c r="B29" s="10">
        <f>IF('IP Triangle'!B29&gt;0,'IP Triangle'!C29/'IP Triangle'!B29,"")</f>
        <v/>
      </c>
      <c r="C29" s="10">
        <f>IF('IP Triangle'!C29&gt;0,'IP Triangle'!D29/'IP Triangle'!C29,"")</f>
        <v/>
      </c>
      <c r="D29" s="10">
        <f>IF('IP Triangle'!D29&gt;0,'IP Triangle'!E29/'IP Triangle'!D29,"")</f>
        <v/>
      </c>
      <c r="E29" s="10">
        <f>IF('IP Triangle'!E29&gt;0,'IP Triangle'!F29/'IP Triangle'!E29,"")</f>
        <v/>
      </c>
      <c r="F29" s="10">
        <f>IF('IP Triangle'!F29&gt;0,'IP Triangle'!G29/'IP Triangle'!F29,"")</f>
        <v/>
      </c>
      <c r="G29" s="10">
        <f>IF('IP Triangle'!G29&gt;0,'IP Triangle'!H29/'IP Triangle'!G29,"")</f>
        <v/>
      </c>
      <c r="H29" s="10">
        <f>IF('IP Triangle'!H29&gt;0,'IP Triangle'!I29/'IP Triangle'!H29,"")</f>
        <v/>
      </c>
      <c r="I29" s="10">
        <f>IF('IP Triangle'!I29&gt;0,'IP Triangle'!J29/'IP Triangle'!I29,"")</f>
        <v/>
      </c>
      <c r="J29" s="10">
        <f>IF('IP Triangle'!J29&gt;0,'IP Triangle'!K29/'IP Triangle'!J29,"")</f>
        <v/>
      </c>
      <c r="K29" s="10">
        <f>IF('IP Triangle'!K29&gt;0,'IP Triangle'!L29/'IP Triangle'!K29,"")</f>
        <v/>
      </c>
      <c r="L29" s="10">
        <f>IF('IP Triangle'!L29&gt;0,'IP Triangle'!M29/'IP Triangle'!L29,"")</f>
        <v/>
      </c>
      <c r="M29" s="10">
        <f>IF('IP Triangle'!M29&gt;0,'IP Triangle'!N29/'IP Triangle'!M29,"")</f>
        <v/>
      </c>
      <c r="N29" s="10">
        <f>IF('IP Triangle'!N29&gt;0,'IP Triangle'!O29/'IP Triangle'!N29,"")</f>
        <v/>
      </c>
      <c r="O29" s="11">
        <f>IF('IP Triangle'!O29&gt;0,'IP Triangle'!P29/'IP Triangle'!O29,"")</f>
        <v/>
      </c>
      <c r="P29" s="11">
        <f>IF('IP Triangle'!P29&gt;0,'IP Triangle'!Q29/'IP Triangle'!P29,"")</f>
        <v/>
      </c>
      <c r="Q29" s="10">
        <f>IF('IP Triangle'!Q29&gt;0,'IP Triangle'!R29/'IP Triangle'!Q29,"")</f>
        <v/>
      </c>
      <c r="R29" s="10">
        <f>IF('IP Triangle'!R29&gt;0,'IP Triangle'!S29/'IP Triangle'!R29,"")</f>
        <v/>
      </c>
    </row>
    <row r="30">
      <c r="A30" s="6" t="inlineStr">
        <is>
          <t>2025-05</t>
        </is>
      </c>
      <c r="B30" s="10">
        <f>IF('IP Triangle'!B30&gt;0,'IP Triangle'!C30/'IP Triangle'!B30,"")</f>
        <v/>
      </c>
      <c r="C30" s="10">
        <f>IF('IP Triangle'!C30&gt;0,'IP Triangle'!D30/'IP Triangle'!C30,"")</f>
        <v/>
      </c>
      <c r="D30" s="10">
        <f>IF('IP Triangle'!D30&gt;0,'IP Triangle'!E30/'IP Triangle'!D30,"")</f>
        <v/>
      </c>
      <c r="E30" s="10">
        <f>IF('IP Triangle'!E30&gt;0,'IP Triangle'!F30/'IP Triangle'!E30,"")</f>
        <v/>
      </c>
      <c r="F30" s="10">
        <f>IF('IP Triangle'!F30&gt;0,'IP Triangle'!G30/'IP Triangle'!F30,"")</f>
        <v/>
      </c>
      <c r="G30" s="10">
        <f>IF('IP Triangle'!G30&gt;0,'IP Triangle'!H30/'IP Triangle'!G30,"")</f>
        <v/>
      </c>
      <c r="H30" s="10">
        <f>IF('IP Triangle'!H30&gt;0,'IP Triangle'!I30/'IP Triangle'!H30,"")</f>
        <v/>
      </c>
      <c r="I30" s="10">
        <f>IF('IP Triangle'!I30&gt;0,'IP Triangle'!J30/'IP Triangle'!I30,"")</f>
        <v/>
      </c>
      <c r="J30" s="10">
        <f>IF('IP Triangle'!J30&gt;0,'IP Triangle'!K30/'IP Triangle'!J30,"")</f>
        <v/>
      </c>
      <c r="K30" s="10">
        <f>IF('IP Triangle'!K30&gt;0,'IP Triangle'!L30/'IP Triangle'!K30,"")</f>
        <v/>
      </c>
      <c r="L30" s="10">
        <f>IF('IP Triangle'!L30&gt;0,'IP Triangle'!M30/'IP Triangle'!L30,"")</f>
        <v/>
      </c>
      <c r="M30" s="10">
        <f>IF('IP Triangle'!M30&gt;0,'IP Triangle'!N30/'IP Triangle'!M30,"")</f>
        <v/>
      </c>
      <c r="N30" s="11">
        <f>IF('IP Triangle'!N30&gt;0,'IP Triangle'!O30/'IP Triangle'!N30,"")</f>
        <v/>
      </c>
      <c r="O30" s="11">
        <f>IF('IP Triangle'!O30&gt;0,'IP Triangle'!P30/'IP Triangle'!O30,"")</f>
        <v/>
      </c>
      <c r="P30" s="10">
        <f>IF('IP Triangle'!P30&gt;0,'IP Triangle'!Q30/'IP Triangle'!P30,"")</f>
        <v/>
      </c>
      <c r="Q30" s="10">
        <f>IF('IP Triangle'!Q30&gt;0,'IP Triangle'!R30/'IP Triangle'!Q30,"")</f>
        <v/>
      </c>
    </row>
    <row r="31">
      <c r="A31" s="6" t="inlineStr">
        <is>
          <t>2025-06</t>
        </is>
      </c>
      <c r="B31" s="10">
        <f>IF('IP Triangle'!B31&gt;0,'IP Triangle'!C31/'IP Triangle'!B31,"")</f>
        <v/>
      </c>
      <c r="C31" s="10">
        <f>IF('IP Triangle'!C31&gt;0,'IP Triangle'!D31/'IP Triangle'!C31,"")</f>
        <v/>
      </c>
      <c r="D31" s="10">
        <f>IF('IP Triangle'!D31&gt;0,'IP Triangle'!E31/'IP Triangle'!D31,"")</f>
        <v/>
      </c>
      <c r="E31" s="10">
        <f>IF('IP Triangle'!E31&gt;0,'IP Triangle'!F31/'IP Triangle'!E31,"")</f>
        <v/>
      </c>
      <c r="F31" s="10">
        <f>IF('IP Triangle'!F31&gt;0,'IP Triangle'!G31/'IP Triangle'!F31,"")</f>
        <v/>
      </c>
      <c r="G31" s="10">
        <f>IF('IP Triangle'!G31&gt;0,'IP Triangle'!H31/'IP Triangle'!G31,"")</f>
        <v/>
      </c>
      <c r="H31" s="10">
        <f>IF('IP Triangle'!H31&gt;0,'IP Triangle'!I31/'IP Triangle'!H31,"")</f>
        <v/>
      </c>
      <c r="I31" s="10">
        <f>IF('IP Triangle'!I31&gt;0,'IP Triangle'!J31/'IP Triangle'!I31,"")</f>
        <v/>
      </c>
      <c r="J31" s="10">
        <f>IF('IP Triangle'!J31&gt;0,'IP Triangle'!K31/'IP Triangle'!J31,"")</f>
        <v/>
      </c>
      <c r="K31" s="10">
        <f>IF('IP Triangle'!K31&gt;0,'IP Triangle'!L31/'IP Triangle'!K31,"")</f>
        <v/>
      </c>
      <c r="L31" s="10">
        <f>IF('IP Triangle'!L31&gt;0,'IP Triangle'!M31/'IP Triangle'!L31,"")</f>
        <v/>
      </c>
      <c r="M31" s="11">
        <f>IF('IP Triangle'!M31&gt;0,'IP Triangle'!N31/'IP Triangle'!M31,"")</f>
        <v/>
      </c>
      <c r="N31" s="11">
        <f>IF('IP Triangle'!N31&gt;0,'IP Triangle'!O31/'IP Triangle'!N31,"")</f>
        <v/>
      </c>
      <c r="O31" s="10">
        <f>IF('IP Triangle'!O31&gt;0,'IP Triangle'!P31/'IP Triangle'!O31,"")</f>
        <v/>
      </c>
      <c r="P31" s="10">
        <f>IF('IP Triangle'!P31&gt;0,'IP Triangle'!Q31/'IP Triangle'!P31,"")</f>
        <v/>
      </c>
    </row>
    <row r="32">
      <c r="A32" s="6" t="inlineStr">
        <is>
          <t>2025-07</t>
        </is>
      </c>
      <c r="B32" s="10">
        <f>IF('IP Triangle'!B32&gt;0,'IP Triangle'!C32/'IP Triangle'!B32,"")</f>
        <v/>
      </c>
      <c r="C32" s="10">
        <f>IF('IP Triangle'!C32&gt;0,'IP Triangle'!D32/'IP Triangle'!C32,"")</f>
        <v/>
      </c>
      <c r="D32" s="10">
        <f>IF('IP Triangle'!D32&gt;0,'IP Triangle'!E32/'IP Triangle'!D32,"")</f>
        <v/>
      </c>
      <c r="E32" s="10">
        <f>IF('IP Triangle'!E32&gt;0,'IP Triangle'!F32/'IP Triangle'!E32,"")</f>
        <v/>
      </c>
      <c r="F32" s="10">
        <f>IF('IP Triangle'!F32&gt;0,'IP Triangle'!G32/'IP Triangle'!F32,"")</f>
        <v/>
      </c>
      <c r="G32" s="10">
        <f>IF('IP Triangle'!G32&gt;0,'IP Triangle'!H32/'IP Triangle'!G32,"")</f>
        <v/>
      </c>
      <c r="H32" s="10">
        <f>IF('IP Triangle'!H32&gt;0,'IP Triangle'!I32/'IP Triangle'!H32,"")</f>
        <v/>
      </c>
      <c r="I32" s="10">
        <f>IF('IP Triangle'!I32&gt;0,'IP Triangle'!J32/'IP Triangle'!I32,"")</f>
        <v/>
      </c>
      <c r="J32" s="10">
        <f>IF('IP Triangle'!J32&gt;0,'IP Triangle'!K32/'IP Triangle'!J32,"")</f>
        <v/>
      </c>
      <c r="K32" s="10">
        <f>IF('IP Triangle'!K32&gt;0,'IP Triangle'!L32/'IP Triangle'!K32,"")</f>
        <v/>
      </c>
      <c r="L32" s="11">
        <f>IF('IP Triangle'!L32&gt;0,'IP Triangle'!M32/'IP Triangle'!L32,"")</f>
        <v/>
      </c>
      <c r="M32" s="11">
        <f>IF('IP Triangle'!M32&gt;0,'IP Triangle'!N32/'IP Triangle'!M32,"")</f>
        <v/>
      </c>
      <c r="N32" s="10">
        <f>IF('IP Triangle'!N32&gt;0,'IP Triangle'!O32/'IP Triangle'!N32,"")</f>
        <v/>
      </c>
      <c r="O32" s="10">
        <f>IF('IP Triangle'!O32&gt;0,'IP Triangle'!P32/'IP Triangle'!O32,"")</f>
        <v/>
      </c>
    </row>
    <row r="33">
      <c r="A33" s="6" t="inlineStr">
        <is>
          <t>2025-08</t>
        </is>
      </c>
      <c r="B33" s="10">
        <f>IF('IP Triangle'!B33&gt;0,'IP Triangle'!C33/'IP Triangle'!B33,"")</f>
        <v/>
      </c>
      <c r="C33" s="10">
        <f>IF('IP Triangle'!C33&gt;0,'IP Triangle'!D33/'IP Triangle'!C33,"")</f>
        <v/>
      </c>
      <c r="D33" s="10">
        <f>IF('IP Triangle'!D33&gt;0,'IP Triangle'!E33/'IP Triangle'!D33,"")</f>
        <v/>
      </c>
      <c r="E33" s="10">
        <f>IF('IP Triangle'!E33&gt;0,'IP Triangle'!F33/'IP Triangle'!E33,"")</f>
        <v/>
      </c>
      <c r="F33" s="10">
        <f>IF('IP Triangle'!F33&gt;0,'IP Triangle'!G33/'IP Triangle'!F33,"")</f>
        <v/>
      </c>
      <c r="G33" s="10">
        <f>IF('IP Triangle'!G33&gt;0,'IP Triangle'!H33/'IP Triangle'!G33,"")</f>
        <v/>
      </c>
      <c r="H33" s="10">
        <f>IF('IP Triangle'!H33&gt;0,'IP Triangle'!I33/'IP Triangle'!H33,"")</f>
        <v/>
      </c>
      <c r="I33" s="10">
        <f>IF('IP Triangle'!I33&gt;0,'IP Triangle'!J33/'IP Triangle'!I33,"")</f>
        <v/>
      </c>
      <c r="J33" s="10">
        <f>IF('IP Triangle'!J33&gt;0,'IP Triangle'!K33/'IP Triangle'!J33,"")</f>
        <v/>
      </c>
      <c r="K33" s="11">
        <f>IF('IP Triangle'!K33&gt;0,'IP Triangle'!L33/'IP Triangle'!K33,"")</f>
        <v/>
      </c>
      <c r="L33" s="11">
        <f>IF('IP Triangle'!L33&gt;0,'IP Triangle'!M33/'IP Triangle'!L33,"")</f>
        <v/>
      </c>
      <c r="M33" s="10">
        <f>IF('IP Triangle'!M33&gt;0,'IP Triangle'!N33/'IP Triangle'!M33,"")</f>
        <v/>
      </c>
      <c r="N33" s="10">
        <f>IF('IP Triangle'!N33&gt;0,'IP Triangle'!O33/'IP Triangle'!N33,"")</f>
        <v/>
      </c>
    </row>
    <row r="34">
      <c r="A34" s="6" t="inlineStr">
        <is>
          <t>2025-09</t>
        </is>
      </c>
      <c r="B34" s="10">
        <f>IF('IP Triangle'!B34&gt;0,'IP Triangle'!C34/'IP Triangle'!B34,"")</f>
        <v/>
      </c>
      <c r="C34" s="10">
        <f>IF('IP Triangle'!C34&gt;0,'IP Triangle'!D34/'IP Triangle'!C34,"")</f>
        <v/>
      </c>
      <c r="D34" s="10">
        <f>IF('IP Triangle'!D34&gt;0,'IP Triangle'!E34/'IP Triangle'!D34,"")</f>
        <v/>
      </c>
      <c r="E34" s="10">
        <f>IF('IP Triangle'!E34&gt;0,'IP Triangle'!F34/'IP Triangle'!E34,"")</f>
        <v/>
      </c>
      <c r="F34" s="10">
        <f>IF('IP Triangle'!F34&gt;0,'IP Triangle'!G34/'IP Triangle'!F34,"")</f>
        <v/>
      </c>
      <c r="G34" s="10">
        <f>IF('IP Triangle'!G34&gt;0,'IP Triangle'!H34/'IP Triangle'!G34,"")</f>
        <v/>
      </c>
      <c r="H34" s="10">
        <f>IF('IP Triangle'!H34&gt;0,'IP Triangle'!I34/'IP Triangle'!H34,"")</f>
        <v/>
      </c>
      <c r="I34" s="10">
        <f>IF('IP Triangle'!I34&gt;0,'IP Triangle'!J34/'IP Triangle'!I34,"")</f>
        <v/>
      </c>
      <c r="J34" s="11">
        <f>IF('IP Triangle'!J34&gt;0,'IP Triangle'!K34/'IP Triangle'!J34,"")</f>
        <v/>
      </c>
      <c r="K34" s="11">
        <f>IF('IP Triangle'!K34&gt;0,'IP Triangle'!L34/'IP Triangle'!K34,"")</f>
        <v/>
      </c>
      <c r="L34" s="10">
        <f>IF('IP Triangle'!L34&gt;0,'IP Triangle'!M34/'IP Triangle'!L34,"")</f>
        <v/>
      </c>
      <c r="M34" s="10">
        <f>IF('IP Triangle'!M34&gt;0,'IP Triangle'!N34/'IP Triangle'!M34,"")</f>
        <v/>
      </c>
    </row>
    <row r="35">
      <c r="A35" s="6" t="inlineStr">
        <is>
          <t>2025-10</t>
        </is>
      </c>
      <c r="B35" s="10">
        <f>IF('IP Triangle'!B35&gt;0,'IP Triangle'!C35/'IP Triangle'!B35,"")</f>
        <v/>
      </c>
      <c r="C35" s="10">
        <f>IF('IP Triangle'!C35&gt;0,'IP Triangle'!D35/'IP Triangle'!C35,"")</f>
        <v/>
      </c>
      <c r="D35" s="10">
        <f>IF('IP Triangle'!D35&gt;0,'IP Triangle'!E35/'IP Triangle'!D35,"")</f>
        <v/>
      </c>
      <c r="E35" s="10">
        <f>IF('IP Triangle'!E35&gt;0,'IP Triangle'!F35/'IP Triangle'!E35,"")</f>
        <v/>
      </c>
      <c r="F35" s="10">
        <f>IF('IP Triangle'!F35&gt;0,'IP Triangle'!G35/'IP Triangle'!F35,"")</f>
        <v/>
      </c>
      <c r="G35" s="10">
        <f>IF('IP Triangle'!G35&gt;0,'IP Triangle'!H35/'IP Triangle'!G35,"")</f>
        <v/>
      </c>
      <c r="H35" s="10">
        <f>IF('IP Triangle'!H35&gt;0,'IP Triangle'!I35/'IP Triangle'!H35,"")</f>
        <v/>
      </c>
      <c r="I35" s="11">
        <f>IF('IP Triangle'!I35&gt;0,'IP Triangle'!J35/'IP Triangle'!I35,"")</f>
        <v/>
      </c>
      <c r="J35" s="11">
        <f>IF('IP Triangle'!J35&gt;0,'IP Triangle'!K35/'IP Triangle'!J35,"")</f>
        <v/>
      </c>
      <c r="K35" s="10">
        <f>IF('IP Triangle'!K35&gt;0,'IP Triangle'!L35/'IP Triangle'!K35,"")</f>
        <v/>
      </c>
      <c r="L35" s="10">
        <f>IF('IP Triangle'!L35&gt;0,'IP Triangle'!M35/'IP Triangle'!L35,"")</f>
        <v/>
      </c>
    </row>
    <row r="36">
      <c r="A36" s="6" t="inlineStr">
        <is>
          <t>2025-11</t>
        </is>
      </c>
      <c r="B36" s="10">
        <f>IF('IP Triangle'!B36&gt;0,'IP Triangle'!C36/'IP Triangle'!B36,"")</f>
        <v/>
      </c>
      <c r="C36" s="10">
        <f>IF('IP Triangle'!C36&gt;0,'IP Triangle'!D36/'IP Triangle'!C36,"")</f>
        <v/>
      </c>
      <c r="D36" s="10">
        <f>IF('IP Triangle'!D36&gt;0,'IP Triangle'!E36/'IP Triangle'!D36,"")</f>
        <v/>
      </c>
      <c r="E36" s="10">
        <f>IF('IP Triangle'!E36&gt;0,'IP Triangle'!F36/'IP Triangle'!E36,"")</f>
        <v/>
      </c>
      <c r="F36" s="10">
        <f>IF('IP Triangle'!F36&gt;0,'IP Triangle'!G36/'IP Triangle'!F36,"")</f>
        <v/>
      </c>
      <c r="G36" s="10">
        <f>IF('IP Triangle'!G36&gt;0,'IP Triangle'!H36/'IP Triangle'!G36,"")</f>
        <v/>
      </c>
      <c r="H36" s="11">
        <f>IF('IP Triangle'!H36&gt;0,'IP Triangle'!I36/'IP Triangle'!H36,"")</f>
        <v/>
      </c>
      <c r="I36" s="11">
        <f>IF('IP Triangle'!I36&gt;0,'IP Triangle'!J36/'IP Triangle'!I36,"")</f>
        <v/>
      </c>
      <c r="J36" s="10">
        <f>IF('IP Triangle'!J36&gt;0,'IP Triangle'!K36/'IP Triangle'!J36,"")</f>
        <v/>
      </c>
      <c r="K36" s="10">
        <f>IF('IP Triangle'!K36&gt;0,'IP Triangle'!L36/'IP Triangle'!K36,"")</f>
        <v/>
      </c>
    </row>
    <row r="37">
      <c r="A37" s="6" t="inlineStr">
        <is>
          <t>2025-12</t>
        </is>
      </c>
      <c r="B37" s="10">
        <f>IF('IP Triangle'!B37&gt;0,'IP Triangle'!C37/'IP Triangle'!B37,"")</f>
        <v/>
      </c>
      <c r="C37" s="10">
        <f>IF('IP Triangle'!C37&gt;0,'IP Triangle'!D37/'IP Triangle'!C37,"")</f>
        <v/>
      </c>
      <c r="D37" s="10">
        <f>IF('IP Triangle'!D37&gt;0,'IP Triangle'!E37/'IP Triangle'!D37,"")</f>
        <v/>
      </c>
      <c r="E37" s="10">
        <f>IF('IP Triangle'!E37&gt;0,'IP Triangle'!F37/'IP Triangle'!E37,"")</f>
        <v/>
      </c>
      <c r="F37" s="10">
        <f>IF('IP Triangle'!F37&gt;0,'IP Triangle'!G37/'IP Triangle'!F37,"")</f>
        <v/>
      </c>
      <c r="G37" s="11">
        <f>IF('IP Triangle'!G37&gt;0,'IP Triangle'!H37/'IP Triangle'!G37,"")</f>
        <v/>
      </c>
      <c r="H37" s="11">
        <f>IF('IP Triangle'!H37&gt;0,'IP Triangle'!I37/'IP Triangle'!H37,"")</f>
        <v/>
      </c>
      <c r="I37" s="10">
        <f>IF('IP Triangle'!I37&gt;0,'IP Triangle'!J37/'IP Triangle'!I37,"")</f>
        <v/>
      </c>
      <c r="J37" s="10">
        <f>IF('IP Triangle'!J37&gt;0,'IP Triangle'!K37/'IP Triangle'!J37,"")</f>
        <v/>
      </c>
    </row>
    <row r="38">
      <c r="A38" s="6" t="inlineStr">
        <is>
          <t>2026-01</t>
        </is>
      </c>
      <c r="B38" s="10">
        <f>IF('IP Triangle'!B38&gt;0,'IP Triangle'!C38/'IP Triangle'!B38,"")</f>
        <v/>
      </c>
      <c r="C38" s="10">
        <f>IF('IP Triangle'!C38&gt;0,'IP Triangle'!D38/'IP Triangle'!C38,"")</f>
        <v/>
      </c>
      <c r="D38" s="10">
        <f>IF('IP Triangle'!D38&gt;0,'IP Triangle'!E38/'IP Triangle'!D38,"")</f>
        <v/>
      </c>
      <c r="E38" s="10">
        <f>IF('IP Triangle'!E38&gt;0,'IP Triangle'!F38/'IP Triangle'!E38,"")</f>
        <v/>
      </c>
      <c r="F38" s="11">
        <f>IF('IP Triangle'!F38&gt;0,'IP Triangle'!G38/'IP Triangle'!F38,"")</f>
        <v/>
      </c>
      <c r="G38" s="11">
        <f>IF('IP Triangle'!G38&gt;0,'IP Triangle'!H38/'IP Triangle'!G38,"")</f>
        <v/>
      </c>
      <c r="H38" s="10">
        <f>IF('IP Triangle'!H38&gt;0,'IP Triangle'!I38/'IP Triangle'!H38,"")</f>
        <v/>
      </c>
      <c r="I38" s="10">
        <f>IF('IP Triangle'!I38&gt;0,'IP Triangle'!J38/'IP Triangle'!I38,"")</f>
        <v/>
      </c>
    </row>
    <row r="39">
      <c r="A39" s="6" t="inlineStr">
        <is>
          <t>2026-02</t>
        </is>
      </c>
      <c r="B39" s="10">
        <f>IF('IP Triangle'!B39&gt;0,'IP Triangle'!C39/'IP Triangle'!B39,"")</f>
        <v/>
      </c>
      <c r="C39" s="10">
        <f>IF('IP Triangle'!C39&gt;0,'IP Triangle'!D39/'IP Triangle'!C39,"")</f>
        <v/>
      </c>
      <c r="D39" s="10">
        <f>IF('IP Triangle'!D39&gt;0,'IP Triangle'!E39/'IP Triangle'!D39,"")</f>
        <v/>
      </c>
      <c r="E39" s="11">
        <f>IF('IP Triangle'!E39&gt;0,'IP Triangle'!F39/'IP Triangle'!E39,"")</f>
        <v/>
      </c>
      <c r="F39" s="11">
        <f>IF('IP Triangle'!F39&gt;0,'IP Triangle'!G39/'IP Triangle'!F39,"")</f>
        <v/>
      </c>
      <c r="G39" s="10">
        <f>IF('IP Triangle'!G39&gt;0,'IP Triangle'!H39/'IP Triangle'!G39,"")</f>
        <v/>
      </c>
      <c r="H39" s="10">
        <f>IF('IP Triangle'!H39&gt;0,'IP Triangle'!I39/'IP Triangle'!H39,"")</f>
        <v/>
      </c>
    </row>
    <row r="40">
      <c r="A40" s="6" t="inlineStr">
        <is>
          <t>2026-03</t>
        </is>
      </c>
      <c r="B40" s="10">
        <f>IF('IP Triangle'!B40&gt;0,'IP Triangle'!C40/'IP Triangle'!B40,"")</f>
        <v/>
      </c>
      <c r="C40" s="10">
        <f>IF('IP Triangle'!C40&gt;0,'IP Triangle'!D40/'IP Triangle'!C40,"")</f>
        <v/>
      </c>
      <c r="D40" s="11">
        <f>IF('IP Triangle'!D40&gt;0,'IP Triangle'!E40/'IP Triangle'!D40,"")</f>
        <v/>
      </c>
      <c r="E40" s="11">
        <f>IF('IP Triangle'!E40&gt;0,'IP Triangle'!F40/'IP Triangle'!E40,"")</f>
        <v/>
      </c>
      <c r="F40" s="10">
        <f>IF('IP Triangle'!F40&gt;0,'IP Triangle'!G40/'IP Triangle'!F40,"")</f>
        <v/>
      </c>
      <c r="G40" s="10">
        <f>IF('IP Triangle'!G40&gt;0,'IP Triangle'!H40/'IP Triangle'!G40,"")</f>
        <v/>
      </c>
    </row>
    <row r="41">
      <c r="A41" s="6" t="inlineStr">
        <is>
          <t>2026-04</t>
        </is>
      </c>
      <c r="B41" s="10">
        <f>IF('IP Triangle'!B41&gt;0,'IP Triangle'!C41/'IP Triangle'!B41,"")</f>
        <v/>
      </c>
      <c r="C41" s="11">
        <f>IF('IP Triangle'!C41&gt;0,'IP Triangle'!D41/'IP Triangle'!C41,"")</f>
        <v/>
      </c>
      <c r="D41" s="11">
        <f>IF('IP Triangle'!D41&gt;0,'IP Triangle'!E41/'IP Triangle'!D41,"")</f>
        <v/>
      </c>
      <c r="E41" s="10">
        <f>IF('IP Triangle'!E41&gt;0,'IP Triangle'!F41/'IP Triangle'!E41,"")</f>
        <v/>
      </c>
      <c r="F41" s="10">
        <f>IF('IP Triangle'!F41&gt;0,'IP Triangle'!G41/'IP Triangle'!F41,"")</f>
        <v/>
      </c>
    </row>
    <row r="42">
      <c r="A42" s="6" t="inlineStr">
        <is>
          <t>2026-05</t>
        </is>
      </c>
      <c r="B42" s="11">
        <f>IF('IP Triangle'!B42&gt;0,'IP Triangle'!C42/'IP Triangle'!B42,"")</f>
        <v/>
      </c>
      <c r="C42" s="11">
        <f>IF('IP Triangle'!C42&gt;0,'IP Triangle'!D42/'IP Triangle'!C42,"")</f>
        <v/>
      </c>
      <c r="D42" s="10">
        <f>IF('IP Triangle'!D42&gt;0,'IP Triangle'!E42/'IP Triangle'!D42,"")</f>
        <v/>
      </c>
      <c r="E42" s="10">
        <f>IF('IP Triangle'!E42&gt;0,'IP Triangle'!F42/'IP Triangle'!E42,"")</f>
        <v/>
      </c>
    </row>
    <row r="43">
      <c r="A43" s="6" t="inlineStr">
        <is>
          <t>2026-06</t>
        </is>
      </c>
      <c r="B43" s="11">
        <f>IF('IP Triangle'!B43&gt;0,'IP Triangle'!C43/'IP Triangle'!B43,"")</f>
        <v/>
      </c>
      <c r="C43" s="10">
        <f>IF('IP Triangle'!C43&gt;0,'IP Triangle'!D43/'IP Triangle'!C43,"")</f>
        <v/>
      </c>
      <c r="D43" s="10">
        <f>IF('IP Triangle'!D43&gt;0,'IP Triangle'!E43/'IP Triangle'!D43,"")</f>
        <v/>
      </c>
    </row>
    <row r="44">
      <c r="A44" s="6" t="inlineStr">
        <is>
          <t>2026-07</t>
        </is>
      </c>
      <c r="B44" s="10">
        <f>IF('IP Triangle'!B44&gt;0,'IP Triangle'!C44/'IP Triangle'!B44,"")</f>
        <v/>
      </c>
      <c r="C44" s="10">
        <f>IF('IP Triangle'!C44&gt;0,'IP Triangle'!D44/'IP Triangle'!C44,"")</f>
        <v/>
      </c>
    </row>
    <row r="45">
      <c r="A45" s="6" t="inlineStr">
        <is>
          <t>2026-08</t>
        </is>
      </c>
      <c r="B45" s="10">
        <f>IF('IP Triangle'!B45&gt;0,'IP Triangle'!C45/'IP Triangle'!B45,"")</f>
        <v/>
      </c>
    </row>
    <row r="46">
      <c r="A46" s="6" t="inlineStr">
        <is>
          <t>2026-09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4" customWidth="1" min="4" max="4"/>
    <col width="14" customWidth="1" min="5" max="5"/>
    <col width="60" customWidth="1" min="6" max="6"/>
  </cols>
  <sheetData>
    <row r="1">
      <c r="A1" s="3" t="inlineStr">
        <is>
          <t>Lag</t>
        </is>
      </c>
      <c r="B1" s="3" t="inlineStr">
        <is>
          <t>6-mo avg ex hi/lo</t>
        </is>
      </c>
      <c r="C1" s="3" t="inlineStr">
        <is>
          <t>Override</t>
        </is>
      </c>
      <c r="D1" s="3" t="inlineStr">
        <is>
          <t>Selected link ratio</t>
        </is>
      </c>
      <c r="E1" s="3" t="inlineStr">
        <is>
          <t>Completion factor</t>
        </is>
      </c>
      <c r="F1" s="3" t="inlineStr">
        <is>
          <t>Months used</t>
        </is>
      </c>
    </row>
    <row r="2">
      <c r="A2" t="n">
        <v>0</v>
      </c>
      <c r="B2" s="10">
        <f>(SUM('IP Ratios'!B38,'IP Ratios'!B39,'IP Ratios'!B40,'IP Ratios'!B41,'IP Ratios'!B44,'IP Ratios'!B45)-MAX('IP Ratios'!B38,'IP Ratios'!B39,'IP Ratios'!B40,'IP Ratios'!B41,'IP Ratios'!B44,'IP Ratios'!B45)-MIN('IP Ratios'!B38,'IP Ratios'!B39,'IP Ratios'!B40,'IP Ratios'!B41,'IP Ratios'!B44,'IP Ratios'!B45))/(COUNT('IP Ratios'!B38,'IP Ratios'!B39,'IP Ratios'!B40,'IP Ratios'!B41,'IP Ratios'!B44,'IP Ratios'!B45)-2)</f>
        <v/>
      </c>
      <c r="C2" s="12" t="n"/>
      <c r="D2" s="10">
        <f>IF(ISNUMBER(C2),C2,B2)</f>
        <v/>
      </c>
      <c r="E2" s="13">
        <f>1/PRODUCT(D2:D46)</f>
        <v/>
      </c>
      <c r="F2" t="inlineStr">
        <is>
          <t>2026-01, 2026-02, 2026-03, 2026-04, 2026-07, 2026-08</t>
        </is>
      </c>
    </row>
    <row r="3">
      <c r="A3" t="n">
        <v>1</v>
      </c>
      <c r="B3" s="10">
        <f>(SUM('IP Ratios'!C37,'IP Ratios'!C38,'IP Ratios'!C39,'IP Ratios'!C40,'IP Ratios'!C43,'IP Ratios'!C44)-MAX('IP Ratios'!C37,'IP Ratios'!C38,'IP Ratios'!C39,'IP Ratios'!C40,'IP Ratios'!C43,'IP Ratios'!C44)-MIN('IP Ratios'!C37,'IP Ratios'!C38,'IP Ratios'!C39,'IP Ratios'!C40,'IP Ratios'!C43,'IP Ratios'!C44))/(COUNT('IP Ratios'!C37,'IP Ratios'!C38,'IP Ratios'!C39,'IP Ratios'!C40,'IP Ratios'!C43,'IP Ratios'!C44)-2)</f>
        <v/>
      </c>
      <c r="C3" s="12" t="n"/>
      <c r="D3" s="10">
        <f>IF(ISNUMBER(C3),C3,B3)</f>
        <v/>
      </c>
      <c r="E3" s="13">
        <f>1/PRODUCT(D3:D46)</f>
        <v/>
      </c>
      <c r="F3" t="inlineStr">
        <is>
          <t>2025-12, 2026-01, 2026-02, 2026-03, 2026-06, 2026-07</t>
        </is>
      </c>
    </row>
    <row r="4">
      <c r="A4" t="n">
        <v>2</v>
      </c>
      <c r="B4" s="10">
        <f>(SUM('IP Ratios'!D36,'IP Ratios'!D37,'IP Ratios'!D38,'IP Ratios'!D39,'IP Ratios'!D42,'IP Ratios'!D43)-MAX('IP Ratios'!D36,'IP Ratios'!D37,'IP Ratios'!D38,'IP Ratios'!D39,'IP Ratios'!D42,'IP Ratios'!D43)-MIN('IP Ratios'!D36,'IP Ratios'!D37,'IP Ratios'!D38,'IP Ratios'!D39,'IP Ratios'!D42,'IP Ratios'!D43))/(COUNT('IP Ratios'!D36,'IP Ratios'!D37,'IP Ratios'!D38,'IP Ratios'!D39,'IP Ratios'!D42,'IP Ratios'!D43)-2)</f>
        <v/>
      </c>
      <c r="C4" s="12" t="n"/>
      <c r="D4" s="10">
        <f>IF(ISNUMBER(C4),C4,B4)</f>
        <v/>
      </c>
      <c r="E4" s="13">
        <f>1/PRODUCT(D4:D46)</f>
        <v/>
      </c>
      <c r="F4" t="inlineStr">
        <is>
          <t>2025-11, 2025-12, 2026-01, 2026-02, 2026-05, 2026-06</t>
        </is>
      </c>
    </row>
    <row r="5">
      <c r="A5" t="n">
        <v>3</v>
      </c>
      <c r="B5" s="10">
        <f>(SUM('IP Ratios'!E35,'IP Ratios'!E36,'IP Ratios'!E37,'IP Ratios'!E38,'IP Ratios'!E41,'IP Ratios'!E42)-MAX('IP Ratios'!E35,'IP Ratios'!E36,'IP Ratios'!E37,'IP Ratios'!E38,'IP Ratios'!E41,'IP Ratios'!E42)-MIN('IP Ratios'!E35,'IP Ratios'!E36,'IP Ratios'!E37,'IP Ratios'!E38,'IP Ratios'!E41,'IP Ratios'!E42))/(COUNT('IP Ratios'!E35,'IP Ratios'!E36,'IP Ratios'!E37,'IP Ratios'!E38,'IP Ratios'!E41,'IP Ratios'!E42)-2)</f>
        <v/>
      </c>
      <c r="C5" s="12" t="n"/>
      <c r="D5" s="10">
        <f>IF(ISNUMBER(C5),C5,B5)</f>
        <v/>
      </c>
      <c r="E5" s="13">
        <f>1/PRODUCT(D5:D46)</f>
        <v/>
      </c>
      <c r="F5" t="inlineStr">
        <is>
          <t>2025-10, 2025-11, 2025-12, 2026-01, 2026-04, 2026-05</t>
        </is>
      </c>
    </row>
    <row r="6">
      <c r="A6" t="n">
        <v>4</v>
      </c>
      <c r="B6" s="10">
        <f>(SUM('IP Ratios'!F34,'IP Ratios'!F35,'IP Ratios'!F36,'IP Ratios'!F37,'IP Ratios'!F40,'IP Ratios'!F41)-MAX('IP Ratios'!F34,'IP Ratios'!F35,'IP Ratios'!F36,'IP Ratios'!F37,'IP Ratios'!F40,'IP Ratios'!F41)-MIN('IP Ratios'!F34,'IP Ratios'!F35,'IP Ratios'!F36,'IP Ratios'!F37,'IP Ratios'!F40,'IP Ratios'!F41))/(COUNT('IP Ratios'!F34,'IP Ratios'!F35,'IP Ratios'!F36,'IP Ratios'!F37,'IP Ratios'!F40,'IP Ratios'!F41)-2)</f>
        <v/>
      </c>
      <c r="C6" s="12" t="n"/>
      <c r="D6" s="10">
        <f>IF(ISNUMBER(C6),C6,B6)</f>
        <v/>
      </c>
      <c r="E6" s="13">
        <f>1/PRODUCT(D6:D46)</f>
        <v/>
      </c>
      <c r="F6" t="inlineStr">
        <is>
          <t>2025-09, 2025-10, 2025-11, 2025-12, 2026-03, 2026-04</t>
        </is>
      </c>
    </row>
    <row r="7">
      <c r="A7" t="n">
        <v>5</v>
      </c>
      <c r="B7" s="10">
        <f>(SUM('IP Ratios'!G33,'IP Ratios'!G34,'IP Ratios'!G35,'IP Ratios'!G36,'IP Ratios'!G39,'IP Ratios'!G40)-MAX('IP Ratios'!G33,'IP Ratios'!G34,'IP Ratios'!G35,'IP Ratios'!G36,'IP Ratios'!G39,'IP Ratios'!G40)-MIN('IP Ratios'!G33,'IP Ratios'!G34,'IP Ratios'!G35,'IP Ratios'!G36,'IP Ratios'!G39,'IP Ratios'!G40))/(COUNT('IP Ratios'!G33,'IP Ratios'!G34,'IP Ratios'!G35,'IP Ratios'!G36,'IP Ratios'!G39,'IP Ratios'!G40)-2)</f>
        <v/>
      </c>
      <c r="C7" s="12" t="n"/>
      <c r="D7" s="10">
        <f>IF(ISNUMBER(C7),C7,B7)</f>
        <v/>
      </c>
      <c r="E7" s="13">
        <f>1/PRODUCT(D7:D46)</f>
        <v/>
      </c>
      <c r="F7" t="inlineStr">
        <is>
          <t>2025-08, 2025-09, 2025-10, 2025-11, 2026-02, 2026-03</t>
        </is>
      </c>
    </row>
    <row r="8">
      <c r="A8" t="n">
        <v>6</v>
      </c>
      <c r="B8" s="10">
        <f>(SUM('IP Ratios'!H32,'IP Ratios'!H33,'IP Ratios'!H34,'IP Ratios'!H35,'IP Ratios'!H38,'IP Ratios'!H39)-MAX('IP Ratios'!H32,'IP Ratios'!H33,'IP Ratios'!H34,'IP Ratios'!H35,'IP Ratios'!H38,'IP Ratios'!H39)-MIN('IP Ratios'!H32,'IP Ratios'!H33,'IP Ratios'!H34,'IP Ratios'!H35,'IP Ratios'!H38,'IP Ratios'!H39))/(COUNT('IP Ratios'!H32,'IP Ratios'!H33,'IP Ratios'!H34,'IP Ratios'!H35,'IP Ratios'!H38,'IP Ratios'!H39)-2)</f>
        <v/>
      </c>
      <c r="C8" s="12" t="n"/>
      <c r="D8" s="10">
        <f>IF(ISNUMBER(C8),C8,B8)</f>
        <v/>
      </c>
      <c r="E8" s="13">
        <f>1/PRODUCT(D8:D46)</f>
        <v/>
      </c>
      <c r="F8" t="inlineStr">
        <is>
          <t>2025-07, 2025-08, 2025-09, 2025-10, 2026-01, 2026-02</t>
        </is>
      </c>
    </row>
    <row r="9">
      <c r="A9" t="n">
        <v>7</v>
      </c>
      <c r="B9" s="10">
        <f>(SUM('IP Ratios'!I31,'IP Ratios'!I32,'IP Ratios'!I33,'IP Ratios'!I34,'IP Ratios'!I37,'IP Ratios'!I38)-MAX('IP Ratios'!I31,'IP Ratios'!I32,'IP Ratios'!I33,'IP Ratios'!I34,'IP Ratios'!I37,'IP Ratios'!I38)-MIN('IP Ratios'!I31,'IP Ratios'!I32,'IP Ratios'!I33,'IP Ratios'!I34,'IP Ratios'!I37,'IP Ratios'!I38))/(COUNT('IP Ratios'!I31,'IP Ratios'!I32,'IP Ratios'!I33,'IP Ratios'!I34,'IP Ratios'!I37,'IP Ratios'!I38)-2)</f>
        <v/>
      </c>
      <c r="C9" s="12" t="n"/>
      <c r="D9" s="10">
        <f>IF(ISNUMBER(C9),C9,B9)</f>
        <v/>
      </c>
      <c r="E9" s="13">
        <f>1/PRODUCT(D9:D46)</f>
        <v/>
      </c>
      <c r="F9" t="inlineStr">
        <is>
          <t>2025-06, 2025-07, 2025-08, 2025-09, 2025-12, 2026-01</t>
        </is>
      </c>
    </row>
    <row r="10">
      <c r="A10" t="n">
        <v>8</v>
      </c>
      <c r="B10" s="10">
        <f>(SUM('IP Ratios'!J30,'IP Ratios'!J31,'IP Ratios'!J32,'IP Ratios'!J33,'IP Ratios'!J36,'IP Ratios'!J37)-MAX('IP Ratios'!J30,'IP Ratios'!J31,'IP Ratios'!J32,'IP Ratios'!J33,'IP Ratios'!J36,'IP Ratios'!J37)-MIN('IP Ratios'!J30,'IP Ratios'!J31,'IP Ratios'!J32,'IP Ratios'!J33,'IP Ratios'!J36,'IP Ratios'!J37))/(COUNT('IP Ratios'!J30,'IP Ratios'!J31,'IP Ratios'!J32,'IP Ratios'!J33,'IP Ratios'!J36,'IP Ratios'!J37)-2)</f>
        <v/>
      </c>
      <c r="C10" s="12" t="n"/>
      <c r="D10" s="10">
        <f>IF(ISNUMBER(C10),C10,B10)</f>
        <v/>
      </c>
      <c r="E10" s="13">
        <f>1/PRODUCT(D10:D46)</f>
        <v/>
      </c>
      <c r="F10" t="inlineStr">
        <is>
          <t>2025-05, 2025-06, 2025-07, 2025-08, 2025-11, 2025-12</t>
        </is>
      </c>
    </row>
    <row r="11">
      <c r="A11" t="n">
        <v>9</v>
      </c>
      <c r="B11" s="10">
        <f>(SUM('IP Ratios'!K29,'IP Ratios'!K30,'IP Ratios'!K31,'IP Ratios'!K32,'IP Ratios'!K35,'IP Ratios'!K36)-MAX('IP Ratios'!K29,'IP Ratios'!K30,'IP Ratios'!K31,'IP Ratios'!K32,'IP Ratios'!K35,'IP Ratios'!K36)-MIN('IP Ratios'!K29,'IP Ratios'!K30,'IP Ratios'!K31,'IP Ratios'!K32,'IP Ratios'!K35,'IP Ratios'!K36))/(COUNT('IP Ratios'!K29,'IP Ratios'!K30,'IP Ratios'!K31,'IP Ratios'!K32,'IP Ratios'!K35,'IP Ratios'!K36)-2)</f>
        <v/>
      </c>
      <c r="C11" s="12" t="n"/>
      <c r="D11" s="10">
        <f>IF(ISNUMBER(C11),C11,B11)</f>
        <v/>
      </c>
      <c r="E11" s="13">
        <f>1/PRODUCT(D11:D46)</f>
        <v/>
      </c>
      <c r="F11" t="inlineStr">
        <is>
          <t>2025-04, 2025-05, 2025-06, 2025-07, 2025-10, 2025-11</t>
        </is>
      </c>
    </row>
    <row r="12">
      <c r="A12" t="n">
        <v>10</v>
      </c>
      <c r="B12" s="10">
        <f>(SUM('IP Ratios'!L28,'IP Ratios'!L29,'IP Ratios'!L30,'IP Ratios'!L31,'IP Ratios'!L34,'IP Ratios'!L35)-MAX('IP Ratios'!L28,'IP Ratios'!L29,'IP Ratios'!L30,'IP Ratios'!L31,'IP Ratios'!L34,'IP Ratios'!L35)-MIN('IP Ratios'!L28,'IP Ratios'!L29,'IP Ratios'!L30,'IP Ratios'!L31,'IP Ratios'!L34,'IP Ratios'!L35))/(COUNT('IP Ratios'!L28,'IP Ratios'!L29,'IP Ratios'!L30,'IP Ratios'!L31,'IP Ratios'!L34,'IP Ratios'!L35)-2)</f>
        <v/>
      </c>
      <c r="C12" s="12" t="n"/>
      <c r="D12" s="10">
        <f>IF(ISNUMBER(C12),C12,B12)</f>
        <v/>
      </c>
      <c r="E12" s="13">
        <f>1/PRODUCT(D12:D46)</f>
        <v/>
      </c>
      <c r="F12" t="inlineStr">
        <is>
          <t>2025-03, 2025-04, 2025-05, 2025-06, 2025-09, 2025-10</t>
        </is>
      </c>
    </row>
    <row r="13">
      <c r="A13" t="n">
        <v>11</v>
      </c>
      <c r="B13" s="10">
        <f>(SUM('IP Ratios'!M27,'IP Ratios'!M28,'IP Ratios'!M29,'IP Ratios'!M30,'IP Ratios'!M33,'IP Ratios'!M34)-MAX('IP Ratios'!M27,'IP Ratios'!M28,'IP Ratios'!M29,'IP Ratios'!M30,'IP Ratios'!M33,'IP Ratios'!M34)-MIN('IP Ratios'!M27,'IP Ratios'!M28,'IP Ratios'!M29,'IP Ratios'!M30,'IP Ratios'!M33,'IP Ratios'!M34))/(COUNT('IP Ratios'!M27,'IP Ratios'!M28,'IP Ratios'!M29,'IP Ratios'!M30,'IP Ratios'!M33,'IP Ratios'!M34)-2)</f>
        <v/>
      </c>
      <c r="C13" s="12" t="n"/>
      <c r="D13" s="10">
        <f>IF(ISNUMBER(C13),C13,B13)</f>
        <v/>
      </c>
      <c r="E13" s="13">
        <f>1/PRODUCT(D13:D46)</f>
        <v/>
      </c>
      <c r="F13" t="inlineStr">
        <is>
          <t>2025-02, 2025-03, 2025-04, 2025-05, 2025-08, 2025-09</t>
        </is>
      </c>
    </row>
    <row r="14">
      <c r="A14" t="n">
        <v>12</v>
      </c>
      <c r="B14" s="10">
        <f>(SUM('IP Ratios'!N26,'IP Ratios'!N27,'IP Ratios'!N28,'IP Ratios'!N29,'IP Ratios'!N32,'IP Ratios'!N33)-MAX('IP Ratios'!N26,'IP Ratios'!N27,'IP Ratios'!N28,'IP Ratios'!N29,'IP Ratios'!N32,'IP Ratios'!N33)-MIN('IP Ratios'!N26,'IP Ratios'!N27,'IP Ratios'!N28,'IP Ratios'!N29,'IP Ratios'!N32,'IP Ratios'!N33))/(COUNT('IP Ratios'!N26,'IP Ratios'!N27,'IP Ratios'!N28,'IP Ratios'!N29,'IP Ratios'!N32,'IP Ratios'!N33)-2)</f>
        <v/>
      </c>
      <c r="C14" s="12" t="n"/>
      <c r="D14" s="10">
        <f>IF(ISNUMBER(C14),C14,B14)</f>
        <v/>
      </c>
      <c r="E14" s="13">
        <f>1/PRODUCT(D14:D46)</f>
        <v/>
      </c>
      <c r="F14" t="inlineStr">
        <is>
          <t>2025-01, 2025-02, 2025-03, 2025-04, 2025-07, 2025-08</t>
        </is>
      </c>
    </row>
    <row r="15">
      <c r="A15" t="n">
        <v>13</v>
      </c>
      <c r="B15" s="10">
        <f>(SUM('IP Ratios'!O25,'IP Ratios'!O26,'IP Ratios'!O27,'IP Ratios'!O28,'IP Ratios'!O31,'IP Ratios'!O32)-MAX('IP Ratios'!O25,'IP Ratios'!O26,'IP Ratios'!O27,'IP Ratios'!O28,'IP Ratios'!O31,'IP Ratios'!O32)-MIN('IP Ratios'!O25,'IP Ratios'!O26,'IP Ratios'!O27,'IP Ratios'!O28,'IP Ratios'!O31,'IP Ratios'!O32))/(COUNT('IP Ratios'!O25,'IP Ratios'!O26,'IP Ratios'!O27,'IP Ratios'!O28,'IP Ratios'!O31,'IP Ratios'!O32)-2)</f>
        <v/>
      </c>
      <c r="C15" s="12" t="n"/>
      <c r="D15" s="10">
        <f>IF(ISNUMBER(C15),C15,B15)</f>
        <v/>
      </c>
      <c r="E15" s="13">
        <f>1/PRODUCT(D15:D46)</f>
        <v/>
      </c>
      <c r="F15" t="inlineStr">
        <is>
          <t>2024-12, 2025-01, 2025-02, 2025-03, 2025-06, 2025-07</t>
        </is>
      </c>
    </row>
    <row r="16">
      <c r="A16" t="n">
        <v>14</v>
      </c>
      <c r="B16" s="10">
        <f>(SUM('IP Ratios'!P24,'IP Ratios'!P25,'IP Ratios'!P26,'IP Ratios'!P27,'IP Ratios'!P30,'IP Ratios'!P31)-MAX('IP Ratios'!P24,'IP Ratios'!P25,'IP Ratios'!P26,'IP Ratios'!P27,'IP Ratios'!P30,'IP Ratios'!P31)-MIN('IP Ratios'!P24,'IP Ratios'!P25,'IP Ratios'!P26,'IP Ratios'!P27,'IP Ratios'!P30,'IP Ratios'!P31))/(COUNT('IP Ratios'!P24,'IP Ratios'!P25,'IP Ratios'!P26,'IP Ratios'!P27,'IP Ratios'!P30,'IP Ratios'!P31)-2)</f>
        <v/>
      </c>
      <c r="C16" s="12" t="n"/>
      <c r="D16" s="10">
        <f>IF(ISNUMBER(C16),C16,B16)</f>
        <v/>
      </c>
      <c r="E16" s="13">
        <f>1/PRODUCT(D16:D46)</f>
        <v/>
      </c>
      <c r="F16" t="inlineStr">
        <is>
          <t>2024-11, 2024-12, 2025-01, 2025-02, 2025-05, 2025-06</t>
        </is>
      </c>
    </row>
    <row r="17">
      <c r="A17" t="n">
        <v>15</v>
      </c>
      <c r="B17" s="10">
        <f>(SUM('IP Ratios'!Q23,'IP Ratios'!Q24,'IP Ratios'!Q25,'IP Ratios'!Q26,'IP Ratios'!Q29,'IP Ratios'!Q30)-MAX('IP Ratios'!Q23,'IP Ratios'!Q24,'IP Ratios'!Q25,'IP Ratios'!Q26,'IP Ratios'!Q29,'IP Ratios'!Q30)-MIN('IP Ratios'!Q23,'IP Ratios'!Q24,'IP Ratios'!Q25,'IP Ratios'!Q26,'IP Ratios'!Q29,'IP Ratios'!Q30))/(COUNT('IP Ratios'!Q23,'IP Ratios'!Q24,'IP Ratios'!Q25,'IP Ratios'!Q26,'IP Ratios'!Q29,'IP Ratios'!Q30)-2)</f>
        <v/>
      </c>
      <c r="C17" s="12" t="n"/>
      <c r="D17" s="10">
        <f>IF(ISNUMBER(C17),C17,B17)</f>
        <v/>
      </c>
      <c r="E17" s="13">
        <f>1/PRODUCT(D17:D46)</f>
        <v/>
      </c>
      <c r="F17" t="inlineStr">
        <is>
          <t>2024-10, 2024-11, 2024-12, 2025-01, 2025-04, 2025-05</t>
        </is>
      </c>
    </row>
    <row r="18">
      <c r="A18" t="n">
        <v>16</v>
      </c>
      <c r="B18" s="10">
        <f>(SUM('IP Ratios'!R22,'IP Ratios'!R23,'IP Ratios'!R24,'IP Ratios'!R25,'IP Ratios'!R28,'IP Ratios'!R29)-MAX('IP Ratios'!R22,'IP Ratios'!R23,'IP Ratios'!R24,'IP Ratios'!R25,'IP Ratios'!R28,'IP Ratios'!R29)-MIN('IP Ratios'!R22,'IP Ratios'!R23,'IP Ratios'!R24,'IP Ratios'!R25,'IP Ratios'!R28,'IP Ratios'!R29))/(COUNT('IP Ratios'!R22,'IP Ratios'!R23,'IP Ratios'!R24,'IP Ratios'!R25,'IP Ratios'!R28,'IP Ratios'!R29)-2)</f>
        <v/>
      </c>
      <c r="C18" s="12" t="n"/>
      <c r="D18" s="10">
        <f>IF(ISNUMBER(C18),C18,B18)</f>
        <v/>
      </c>
      <c r="E18" s="13">
        <f>1/PRODUCT(D18:D46)</f>
        <v/>
      </c>
      <c r="F18" t="inlineStr">
        <is>
          <t>2024-09, 2024-10, 2024-11, 2024-12, 2025-03, 2025-04</t>
        </is>
      </c>
    </row>
    <row r="19">
      <c r="A19" t="n">
        <v>17</v>
      </c>
      <c r="B19" s="10">
        <f>(SUM('IP Ratios'!S21,'IP Ratios'!S22,'IP Ratios'!S23,'IP Ratios'!S24,'IP Ratios'!S27,'IP Ratios'!S28)-MAX('IP Ratios'!S21,'IP Ratios'!S22,'IP Ratios'!S23,'IP Ratios'!S24,'IP Ratios'!S27,'IP Ratios'!S28)-MIN('IP Ratios'!S21,'IP Ratios'!S22,'IP Ratios'!S23,'IP Ratios'!S24,'IP Ratios'!S27,'IP Ratios'!S28))/(COUNT('IP Ratios'!S21,'IP Ratios'!S22,'IP Ratios'!S23,'IP Ratios'!S24,'IP Ratios'!S27,'IP Ratios'!S28)-2)</f>
        <v/>
      </c>
      <c r="C19" s="12" t="n"/>
      <c r="D19" s="10">
        <f>IF(ISNUMBER(C19),C19,B19)</f>
        <v/>
      </c>
      <c r="E19" s="13">
        <f>1/PRODUCT(D19:D46)</f>
        <v/>
      </c>
      <c r="F19" t="inlineStr">
        <is>
          <t>2024-08, 2024-09, 2024-10, 2024-11, 2025-02, 2025-03</t>
        </is>
      </c>
    </row>
    <row r="20">
      <c r="A20" t="n">
        <v>18</v>
      </c>
      <c r="B20" s="10">
        <f>(SUM('IP Ratios'!T20,'IP Ratios'!T21,'IP Ratios'!T22,'IP Ratios'!T23,'IP Ratios'!T26,'IP Ratios'!T27)-MAX('IP Ratios'!T20,'IP Ratios'!T21,'IP Ratios'!T22,'IP Ratios'!T23,'IP Ratios'!T26,'IP Ratios'!T27)-MIN('IP Ratios'!T20,'IP Ratios'!T21,'IP Ratios'!T22,'IP Ratios'!T23,'IP Ratios'!T26,'IP Ratios'!T27))/(COUNT('IP Ratios'!T20,'IP Ratios'!T21,'IP Ratios'!T22,'IP Ratios'!T23,'IP Ratios'!T26,'IP Ratios'!T27)-2)</f>
        <v/>
      </c>
      <c r="C20" s="12" t="n"/>
      <c r="D20" s="10">
        <f>IF(ISNUMBER(C20),C20,B20)</f>
        <v/>
      </c>
      <c r="E20" s="13">
        <f>1/PRODUCT(D20:D46)</f>
        <v/>
      </c>
      <c r="F20" t="inlineStr">
        <is>
          <t>2024-07, 2024-08, 2024-09, 2024-10, 2025-01, 2025-02</t>
        </is>
      </c>
    </row>
    <row r="21">
      <c r="A21" t="n">
        <v>19</v>
      </c>
      <c r="B21" s="10">
        <f>(SUM('IP Ratios'!U19,'IP Ratios'!U20,'IP Ratios'!U21,'IP Ratios'!U22,'IP Ratios'!U25,'IP Ratios'!U26)-MAX('IP Ratios'!U19,'IP Ratios'!U20,'IP Ratios'!U21,'IP Ratios'!U22,'IP Ratios'!U25,'IP Ratios'!U26)-MIN('IP Ratios'!U19,'IP Ratios'!U20,'IP Ratios'!U21,'IP Ratios'!U22,'IP Ratios'!U25,'IP Ratios'!U26))/(COUNT('IP Ratios'!U19,'IP Ratios'!U20,'IP Ratios'!U21,'IP Ratios'!U22,'IP Ratios'!U25,'IP Ratios'!U26)-2)</f>
        <v/>
      </c>
      <c r="C21" s="12" t="n"/>
      <c r="D21" s="10">
        <f>IF(ISNUMBER(C21),C21,B21)</f>
        <v/>
      </c>
      <c r="E21" s="13">
        <f>1/PRODUCT(D21:D46)</f>
        <v/>
      </c>
      <c r="F21" t="inlineStr">
        <is>
          <t>2024-06, 2024-07, 2024-08, 2024-09, 2024-12, 2025-01</t>
        </is>
      </c>
    </row>
    <row r="22">
      <c r="A22" t="n">
        <v>20</v>
      </c>
      <c r="B22" s="10">
        <f>(SUM('IP Ratios'!V18,'IP Ratios'!V19,'IP Ratios'!V20,'IP Ratios'!V21,'IP Ratios'!V24,'IP Ratios'!V25)-MAX('IP Ratios'!V18,'IP Ratios'!V19,'IP Ratios'!V20,'IP Ratios'!V21,'IP Ratios'!V24,'IP Ratios'!V25)-MIN('IP Ratios'!V18,'IP Ratios'!V19,'IP Ratios'!V20,'IP Ratios'!V21,'IP Ratios'!V24,'IP Ratios'!V25))/(COUNT('IP Ratios'!V18,'IP Ratios'!V19,'IP Ratios'!V20,'IP Ratios'!V21,'IP Ratios'!V24,'IP Ratios'!V25)-2)</f>
        <v/>
      </c>
      <c r="C22" s="12" t="n"/>
      <c r="D22" s="10">
        <f>IF(ISNUMBER(C22),C22,B22)</f>
        <v/>
      </c>
      <c r="E22" s="13">
        <f>1/PRODUCT(D22:D46)</f>
        <v/>
      </c>
      <c r="F22" t="inlineStr">
        <is>
          <t>2024-05, 2024-06, 2024-07, 2024-08, 2024-11, 2024-12</t>
        </is>
      </c>
    </row>
    <row r="23">
      <c r="A23" t="n">
        <v>21</v>
      </c>
      <c r="B23" s="10">
        <f>(SUM('IP Ratios'!W17,'IP Ratios'!W18,'IP Ratios'!W19,'IP Ratios'!W20,'IP Ratios'!W23,'IP Ratios'!W24)-MAX('IP Ratios'!W17,'IP Ratios'!W18,'IP Ratios'!W19,'IP Ratios'!W20,'IP Ratios'!W23,'IP Ratios'!W24)-MIN('IP Ratios'!W17,'IP Ratios'!W18,'IP Ratios'!W19,'IP Ratios'!W20,'IP Ratios'!W23,'IP Ratios'!W24))/(COUNT('IP Ratios'!W17,'IP Ratios'!W18,'IP Ratios'!W19,'IP Ratios'!W20,'IP Ratios'!W23,'IP Ratios'!W24)-2)</f>
        <v/>
      </c>
      <c r="C23" s="12" t="n"/>
      <c r="D23" s="10">
        <f>IF(ISNUMBER(C23),C23,B23)</f>
        <v/>
      </c>
      <c r="E23" s="13">
        <f>1/PRODUCT(D23:D46)</f>
        <v/>
      </c>
      <c r="F23" t="inlineStr">
        <is>
          <t>2024-04, 2024-05, 2024-06, 2024-07, 2024-10, 2024-11</t>
        </is>
      </c>
    </row>
    <row r="24">
      <c r="A24" t="n">
        <v>22</v>
      </c>
      <c r="B24" s="10">
        <f>(SUM('IP Ratios'!X16,'IP Ratios'!X17,'IP Ratios'!X18,'IP Ratios'!X19,'IP Ratios'!X22,'IP Ratios'!X23)-MAX('IP Ratios'!X16,'IP Ratios'!X17,'IP Ratios'!X18,'IP Ratios'!X19,'IP Ratios'!X22,'IP Ratios'!X23)-MIN('IP Ratios'!X16,'IP Ratios'!X17,'IP Ratios'!X18,'IP Ratios'!X19,'IP Ratios'!X22,'IP Ratios'!X23))/(COUNT('IP Ratios'!X16,'IP Ratios'!X17,'IP Ratios'!X18,'IP Ratios'!X19,'IP Ratios'!X22,'IP Ratios'!X23)-2)</f>
        <v/>
      </c>
      <c r="C24" s="12" t="n"/>
      <c r="D24" s="10">
        <f>IF(ISNUMBER(C24),C24,B24)</f>
        <v/>
      </c>
      <c r="E24" s="13">
        <f>1/PRODUCT(D24:D46)</f>
        <v/>
      </c>
      <c r="F24" t="inlineStr">
        <is>
          <t>2024-03, 2024-04, 2024-05, 2024-06, 2024-09, 2024-10</t>
        </is>
      </c>
    </row>
    <row r="25">
      <c r="A25" t="n">
        <v>23</v>
      </c>
      <c r="B25" s="10">
        <f>(SUM('IP Ratios'!Y15,'IP Ratios'!Y16,'IP Ratios'!Y17,'IP Ratios'!Y18,'IP Ratios'!Y21,'IP Ratios'!Y22)-MAX('IP Ratios'!Y15,'IP Ratios'!Y16,'IP Ratios'!Y17,'IP Ratios'!Y18,'IP Ratios'!Y21,'IP Ratios'!Y22)-MIN('IP Ratios'!Y15,'IP Ratios'!Y16,'IP Ratios'!Y17,'IP Ratios'!Y18,'IP Ratios'!Y21,'IP Ratios'!Y22))/(COUNT('IP Ratios'!Y15,'IP Ratios'!Y16,'IP Ratios'!Y17,'IP Ratios'!Y18,'IP Ratios'!Y21,'IP Ratios'!Y22)-2)</f>
        <v/>
      </c>
      <c r="C25" s="12" t="n"/>
      <c r="D25" s="10">
        <f>IF(ISNUMBER(C25),C25,B25)</f>
        <v/>
      </c>
      <c r="E25" s="13">
        <f>1/PRODUCT(D25:D46)</f>
        <v/>
      </c>
      <c r="F25" t="inlineStr">
        <is>
          <t>2024-02, 2024-03, 2024-04, 2024-05, 2024-08, 2024-09</t>
        </is>
      </c>
    </row>
    <row r="26">
      <c r="A26" t="n">
        <v>24</v>
      </c>
      <c r="B26" s="10">
        <f>(SUM('IP Ratios'!Z14,'IP Ratios'!Z15,'IP Ratios'!Z16,'IP Ratios'!Z17,'IP Ratios'!Z20,'IP Ratios'!Z21)-MAX('IP Ratios'!Z14,'IP Ratios'!Z15,'IP Ratios'!Z16,'IP Ratios'!Z17,'IP Ratios'!Z20,'IP Ratios'!Z21)-MIN('IP Ratios'!Z14,'IP Ratios'!Z15,'IP Ratios'!Z16,'IP Ratios'!Z17,'IP Ratios'!Z20,'IP Ratios'!Z21))/(COUNT('IP Ratios'!Z14,'IP Ratios'!Z15,'IP Ratios'!Z16,'IP Ratios'!Z17,'IP Ratios'!Z20,'IP Ratios'!Z21)-2)</f>
        <v/>
      </c>
      <c r="C26" s="12" t="n"/>
      <c r="D26" s="10">
        <f>IF(ISNUMBER(C26),C26,B26)</f>
        <v/>
      </c>
      <c r="E26" s="13">
        <f>1/PRODUCT(D26:D46)</f>
        <v/>
      </c>
      <c r="F26" t="inlineStr">
        <is>
          <t>2024-01, 2024-02, 2024-03, 2024-04, 2024-07, 2024-08</t>
        </is>
      </c>
    </row>
    <row r="27">
      <c r="A27" t="n">
        <v>25</v>
      </c>
      <c r="B27" s="10">
        <f>(SUM('IP Ratios'!AA13,'IP Ratios'!AA14,'IP Ratios'!AA15,'IP Ratios'!AA16,'IP Ratios'!AA19,'IP Ratios'!AA20)-MAX('IP Ratios'!AA13,'IP Ratios'!AA14,'IP Ratios'!AA15,'IP Ratios'!AA16,'IP Ratios'!AA19,'IP Ratios'!AA20)-MIN('IP Ratios'!AA13,'IP Ratios'!AA14,'IP Ratios'!AA15,'IP Ratios'!AA16,'IP Ratios'!AA19,'IP Ratios'!AA20))/(COUNT('IP Ratios'!AA13,'IP Ratios'!AA14,'IP Ratios'!AA15,'IP Ratios'!AA16,'IP Ratios'!AA19,'IP Ratios'!AA20)-2)</f>
        <v/>
      </c>
      <c r="C27" s="12" t="n"/>
      <c r="D27" s="10">
        <f>IF(ISNUMBER(C27),C27,B27)</f>
        <v/>
      </c>
      <c r="E27" s="13">
        <f>1/PRODUCT(D27:D46)</f>
        <v/>
      </c>
      <c r="F27" t="inlineStr">
        <is>
          <t>2023-12, 2024-01, 2024-02, 2024-03, 2024-06, 2024-07</t>
        </is>
      </c>
    </row>
    <row r="28">
      <c r="A28" t="n">
        <v>26</v>
      </c>
      <c r="B28" s="10">
        <f>(SUM('IP Ratios'!AB12,'IP Ratios'!AB13,'IP Ratios'!AB14,'IP Ratios'!AB15,'IP Ratios'!AB18,'IP Ratios'!AB19)-MAX('IP Ratios'!AB12,'IP Ratios'!AB13,'IP Ratios'!AB14,'IP Ratios'!AB15,'IP Ratios'!AB18,'IP Ratios'!AB19)-MIN('IP Ratios'!AB12,'IP Ratios'!AB13,'IP Ratios'!AB14,'IP Ratios'!AB15,'IP Ratios'!AB18,'IP Ratios'!AB19))/(COUNT('IP Ratios'!AB12,'IP Ratios'!AB13,'IP Ratios'!AB14,'IP Ratios'!AB15,'IP Ratios'!AB18,'IP Ratios'!AB19)-2)</f>
        <v/>
      </c>
      <c r="C28" s="12" t="n"/>
      <c r="D28" s="10">
        <f>IF(ISNUMBER(C28),C28,B28)</f>
        <v/>
      </c>
      <c r="E28" s="13">
        <f>1/PRODUCT(D28:D46)</f>
        <v/>
      </c>
      <c r="F28" t="inlineStr">
        <is>
          <t>2023-11, 2023-12, 2024-01, 2024-02, 2024-05, 2024-06</t>
        </is>
      </c>
    </row>
    <row r="29">
      <c r="A29" t="n">
        <v>27</v>
      </c>
      <c r="B29" s="10">
        <f>(SUM('IP Ratios'!AC11,'IP Ratios'!AC12,'IP Ratios'!AC13,'IP Ratios'!AC14,'IP Ratios'!AC17,'IP Ratios'!AC18)-MAX('IP Ratios'!AC11,'IP Ratios'!AC12,'IP Ratios'!AC13,'IP Ratios'!AC14,'IP Ratios'!AC17,'IP Ratios'!AC18)-MIN('IP Ratios'!AC11,'IP Ratios'!AC12,'IP Ratios'!AC13,'IP Ratios'!AC14,'IP Ratios'!AC17,'IP Ratios'!AC18))/(COUNT('IP Ratios'!AC11,'IP Ratios'!AC12,'IP Ratios'!AC13,'IP Ratios'!AC14,'IP Ratios'!AC17,'IP Ratios'!AC18)-2)</f>
        <v/>
      </c>
      <c r="C29" s="12" t="n"/>
      <c r="D29" s="10">
        <f>IF(ISNUMBER(C29),C29,B29)</f>
        <v/>
      </c>
      <c r="E29" s="13">
        <f>1/PRODUCT(D29:D46)</f>
        <v/>
      </c>
      <c r="F29" t="inlineStr">
        <is>
          <t>2023-10, 2023-11, 2023-12, 2024-01, 2024-04, 2024-05</t>
        </is>
      </c>
    </row>
    <row r="30">
      <c r="A30" t="n">
        <v>28</v>
      </c>
      <c r="B30" s="10">
        <f>(SUM('IP Ratios'!AD10,'IP Ratios'!AD11,'IP Ratios'!AD12,'IP Ratios'!AD13,'IP Ratios'!AD16,'IP Ratios'!AD17)-MAX('IP Ratios'!AD10,'IP Ratios'!AD11,'IP Ratios'!AD12,'IP Ratios'!AD13,'IP Ratios'!AD16,'IP Ratios'!AD17)-MIN('IP Ratios'!AD10,'IP Ratios'!AD11,'IP Ratios'!AD12,'IP Ratios'!AD13,'IP Ratios'!AD16,'IP Ratios'!AD17))/(COUNT('IP Ratios'!AD10,'IP Ratios'!AD11,'IP Ratios'!AD12,'IP Ratios'!AD13,'IP Ratios'!AD16,'IP Ratios'!AD17)-2)</f>
        <v/>
      </c>
      <c r="C30" s="12" t="n"/>
      <c r="D30" s="10">
        <f>IF(ISNUMBER(C30),C30,B30)</f>
        <v/>
      </c>
      <c r="E30" s="13">
        <f>1/PRODUCT(D30:D46)</f>
        <v/>
      </c>
      <c r="F30" t="inlineStr">
        <is>
          <t>2023-09, 2023-10, 2023-11, 2023-12, 2024-03, 2024-04</t>
        </is>
      </c>
    </row>
    <row r="31">
      <c r="A31" t="n">
        <v>29</v>
      </c>
      <c r="B31" s="10">
        <f>(SUM('IP Ratios'!AE9,'IP Ratios'!AE10,'IP Ratios'!AE11,'IP Ratios'!AE12,'IP Ratios'!AE15,'IP Ratios'!AE16)-MAX('IP Ratios'!AE9,'IP Ratios'!AE10,'IP Ratios'!AE11,'IP Ratios'!AE12,'IP Ratios'!AE15,'IP Ratios'!AE16)-MIN('IP Ratios'!AE9,'IP Ratios'!AE10,'IP Ratios'!AE11,'IP Ratios'!AE12,'IP Ratios'!AE15,'IP Ratios'!AE16))/(COUNT('IP Ratios'!AE9,'IP Ratios'!AE10,'IP Ratios'!AE11,'IP Ratios'!AE12,'IP Ratios'!AE15,'IP Ratios'!AE16)-2)</f>
        <v/>
      </c>
      <c r="C31" s="12" t="n"/>
      <c r="D31" s="10">
        <f>IF(ISNUMBER(C31),C31,B31)</f>
        <v/>
      </c>
      <c r="E31" s="13">
        <f>1/PRODUCT(D31:D46)</f>
        <v/>
      </c>
      <c r="F31" t="inlineStr">
        <is>
          <t>2023-08, 2023-09, 2023-10, 2023-11, 2024-02, 2024-03</t>
        </is>
      </c>
    </row>
    <row r="32">
      <c r="A32" t="n">
        <v>30</v>
      </c>
      <c r="B32" s="10">
        <f>(SUM('IP Ratios'!AF8,'IP Ratios'!AF9,'IP Ratios'!AF10,'IP Ratios'!AF11,'IP Ratios'!AF14,'IP Ratios'!AF15)-MAX('IP Ratios'!AF8,'IP Ratios'!AF9,'IP Ratios'!AF10,'IP Ratios'!AF11,'IP Ratios'!AF14,'IP Ratios'!AF15)-MIN('IP Ratios'!AF8,'IP Ratios'!AF9,'IP Ratios'!AF10,'IP Ratios'!AF11,'IP Ratios'!AF14,'IP Ratios'!AF15))/(COUNT('IP Ratios'!AF8,'IP Ratios'!AF9,'IP Ratios'!AF10,'IP Ratios'!AF11,'IP Ratios'!AF14,'IP Ratios'!AF15)-2)</f>
        <v/>
      </c>
      <c r="C32" s="12" t="n"/>
      <c r="D32" s="10">
        <f>IF(ISNUMBER(C32),C32,B32)</f>
        <v/>
      </c>
      <c r="E32" s="13">
        <f>1/PRODUCT(D32:D46)</f>
        <v/>
      </c>
      <c r="F32" t="inlineStr">
        <is>
          <t>2023-07, 2023-08, 2023-09, 2023-10, 2024-01, 2024-02</t>
        </is>
      </c>
    </row>
    <row r="33">
      <c r="A33" t="n">
        <v>31</v>
      </c>
      <c r="B33" s="10">
        <f>(SUM('IP Ratios'!AG7,'IP Ratios'!AG8,'IP Ratios'!AG9,'IP Ratios'!AG10,'IP Ratios'!AG13,'IP Ratios'!AG14)-MAX('IP Ratios'!AG7,'IP Ratios'!AG8,'IP Ratios'!AG9,'IP Ratios'!AG10,'IP Ratios'!AG13,'IP Ratios'!AG14)-MIN('IP Ratios'!AG7,'IP Ratios'!AG8,'IP Ratios'!AG9,'IP Ratios'!AG10,'IP Ratios'!AG13,'IP Ratios'!AG14))/(COUNT('IP Ratios'!AG7,'IP Ratios'!AG8,'IP Ratios'!AG9,'IP Ratios'!AG10,'IP Ratios'!AG13,'IP Ratios'!AG14)-2)</f>
        <v/>
      </c>
      <c r="C33" s="12" t="n"/>
      <c r="D33" s="10">
        <f>IF(ISNUMBER(C33),C33,B33)</f>
        <v/>
      </c>
      <c r="E33" s="13">
        <f>1/PRODUCT(D33:D46)</f>
        <v/>
      </c>
      <c r="F33" t="inlineStr">
        <is>
          <t>2023-06, 2023-07, 2023-08, 2023-09, 2023-12, 2024-01</t>
        </is>
      </c>
    </row>
    <row r="34">
      <c r="A34" t="n">
        <v>32</v>
      </c>
      <c r="B34" s="10">
        <f>(SUM('IP Ratios'!AH6,'IP Ratios'!AH7,'IP Ratios'!AH8,'IP Ratios'!AH9,'IP Ratios'!AH12,'IP Ratios'!AH13)-MAX('IP Ratios'!AH6,'IP Ratios'!AH7,'IP Ratios'!AH8,'IP Ratios'!AH9,'IP Ratios'!AH12,'IP Ratios'!AH13)-MIN('IP Ratios'!AH6,'IP Ratios'!AH7,'IP Ratios'!AH8,'IP Ratios'!AH9,'IP Ratios'!AH12,'IP Ratios'!AH13))/(COUNT('IP Ratios'!AH6,'IP Ratios'!AH7,'IP Ratios'!AH8,'IP Ratios'!AH9,'IP Ratios'!AH12,'IP Ratios'!AH13)-2)</f>
        <v/>
      </c>
      <c r="C34" s="12" t="n"/>
      <c r="D34" s="10">
        <f>IF(ISNUMBER(C34),C34,B34)</f>
        <v/>
      </c>
      <c r="E34" s="13">
        <f>1/PRODUCT(D34:D46)</f>
        <v/>
      </c>
      <c r="F34" t="inlineStr">
        <is>
          <t>2023-05, 2023-06, 2023-07, 2023-08, 2023-11, 2023-12</t>
        </is>
      </c>
    </row>
    <row r="35">
      <c r="A35" t="n">
        <v>33</v>
      </c>
      <c r="B35" s="10">
        <f>(SUM('IP Ratios'!AI5,'IP Ratios'!AI6,'IP Ratios'!AI7,'IP Ratios'!AI8,'IP Ratios'!AI11,'IP Ratios'!AI12)-MAX('IP Ratios'!AI5,'IP Ratios'!AI6,'IP Ratios'!AI7,'IP Ratios'!AI8,'IP Ratios'!AI11,'IP Ratios'!AI12)-MIN('IP Ratios'!AI5,'IP Ratios'!AI6,'IP Ratios'!AI7,'IP Ratios'!AI8,'IP Ratios'!AI11,'IP Ratios'!AI12))/(COUNT('IP Ratios'!AI5,'IP Ratios'!AI6,'IP Ratios'!AI7,'IP Ratios'!AI8,'IP Ratios'!AI11,'IP Ratios'!AI12)-2)</f>
        <v/>
      </c>
      <c r="C35" s="12" t="n"/>
      <c r="D35" s="10">
        <f>IF(ISNUMBER(C35),C35,B35)</f>
        <v/>
      </c>
      <c r="E35" s="13">
        <f>1/PRODUCT(D35:D46)</f>
        <v/>
      </c>
      <c r="F35" t="inlineStr">
        <is>
          <t>2023-04, 2023-05, 2023-06, 2023-07, 2023-10, 2023-11</t>
        </is>
      </c>
    </row>
    <row r="36">
      <c r="A36" t="n">
        <v>34</v>
      </c>
      <c r="B36" s="10">
        <f>(SUM('IP Ratios'!AJ4,'IP Ratios'!AJ5,'IP Ratios'!AJ6,'IP Ratios'!AJ7,'IP Ratios'!AJ10,'IP Ratios'!AJ11)-MAX('IP Ratios'!AJ4,'IP Ratios'!AJ5,'IP Ratios'!AJ6,'IP Ratios'!AJ7,'IP Ratios'!AJ10,'IP Ratios'!AJ11)-MIN('IP Ratios'!AJ4,'IP Ratios'!AJ5,'IP Ratios'!AJ6,'IP Ratios'!AJ7,'IP Ratios'!AJ10,'IP Ratios'!AJ11))/(COUNT('IP Ratios'!AJ4,'IP Ratios'!AJ5,'IP Ratios'!AJ6,'IP Ratios'!AJ7,'IP Ratios'!AJ10,'IP Ratios'!AJ11)-2)</f>
        <v/>
      </c>
      <c r="C36" s="12" t="n"/>
      <c r="D36" s="10">
        <f>IF(ISNUMBER(C36),C36,B36)</f>
        <v/>
      </c>
      <c r="E36" s="13">
        <f>1/PRODUCT(D36:D46)</f>
        <v/>
      </c>
      <c r="F36" t="inlineStr">
        <is>
          <t>2023-03, 2023-04, 2023-05, 2023-06, 2023-09, 2023-10</t>
        </is>
      </c>
    </row>
    <row r="37">
      <c r="A37" t="n">
        <v>35</v>
      </c>
      <c r="B37" s="10">
        <f>(SUM('IP Ratios'!AK3,'IP Ratios'!AK4,'IP Ratios'!AK5,'IP Ratios'!AK6,'IP Ratios'!AK9,'IP Ratios'!AK10)-MAX('IP Ratios'!AK3,'IP Ratios'!AK4,'IP Ratios'!AK5,'IP Ratios'!AK6,'IP Ratios'!AK9,'IP Ratios'!AK10)-MIN('IP Ratios'!AK3,'IP Ratios'!AK4,'IP Ratios'!AK5,'IP Ratios'!AK6,'IP Ratios'!AK9,'IP Ratios'!AK10))/(COUNT('IP Ratios'!AK3,'IP Ratios'!AK4,'IP Ratios'!AK5,'IP Ratios'!AK6,'IP Ratios'!AK9,'IP Ratios'!AK10)-2)</f>
        <v/>
      </c>
      <c r="C37" s="12" t="n"/>
      <c r="D37" s="10">
        <f>IF(ISNUMBER(C37),C37,B37)</f>
        <v/>
      </c>
      <c r="E37" s="13">
        <f>1/PRODUCT(D37:D46)</f>
        <v/>
      </c>
      <c r="F37" t="inlineStr">
        <is>
          <t>2023-02, 2023-03, 2023-04, 2023-05, 2023-08, 2023-09</t>
        </is>
      </c>
    </row>
    <row r="38">
      <c r="A38" t="n">
        <v>36</v>
      </c>
      <c r="B38" s="10" t="n">
        <v>1</v>
      </c>
      <c r="C38" s="12" t="n"/>
      <c r="D38" s="10">
        <f>IF(ISNUMBER(C38),C38,B38)</f>
        <v/>
      </c>
      <c r="E38" s="13">
        <f>1/PRODUCT(D38:D46)</f>
        <v/>
      </c>
      <c r="F38" t="inlineStr">
        <is>
          <t>2023-01, 2023-02, 2023-03, 2023-04, 2023-07, 2023-08</t>
        </is>
      </c>
    </row>
    <row r="39">
      <c r="A39" t="n">
        <v>37</v>
      </c>
      <c r="B39" s="10" t="n">
        <v>1</v>
      </c>
      <c r="C39" s="12" t="n"/>
      <c r="D39" s="10">
        <f>IF(ISNUMBER(C39),C39,B39)</f>
        <v/>
      </c>
      <c r="E39" s="13">
        <f>1/PRODUCT(D39:D46)</f>
        <v/>
      </c>
      <c r="F39" t="inlineStr">
        <is>
          <t>2023-01, 2023-02, 2023-03, 2023-06, 2023-07</t>
        </is>
      </c>
    </row>
    <row r="40">
      <c r="A40" t="n">
        <v>38</v>
      </c>
      <c r="B40" s="10" t="n">
        <v>1</v>
      </c>
      <c r="C40" s="12" t="n"/>
      <c r="D40" s="10">
        <f>IF(ISNUMBER(C40),C40,B40)</f>
        <v/>
      </c>
      <c r="E40" s="13">
        <f>1/PRODUCT(D40:D46)</f>
        <v/>
      </c>
      <c r="F40" t="inlineStr">
        <is>
          <t>2023-01, 2023-02, 2023-05, 2023-06</t>
        </is>
      </c>
    </row>
    <row r="41">
      <c r="A41" t="n">
        <v>39</v>
      </c>
      <c r="B41" s="10" t="n">
        <v>1</v>
      </c>
      <c r="C41" s="12" t="n"/>
      <c r="D41" s="10">
        <f>IF(ISNUMBER(C41),C41,B41)</f>
        <v/>
      </c>
      <c r="E41" s="13">
        <f>1/PRODUCT(D41:D46)</f>
        <v/>
      </c>
      <c r="F41" t="inlineStr">
        <is>
          <t>2023-01, 2023-04, 2023-05</t>
        </is>
      </c>
    </row>
    <row r="42">
      <c r="A42" t="n">
        <v>40</v>
      </c>
      <c r="B42" s="10" t="n">
        <v>1</v>
      </c>
      <c r="C42" s="12" t="n"/>
      <c r="D42" s="10">
        <f>IF(ISNUMBER(C42),C42,B42)</f>
        <v/>
      </c>
      <c r="E42" s="13">
        <f>1/PRODUCT(D42:D46)</f>
        <v/>
      </c>
      <c r="F42" t="inlineStr">
        <is>
          <t>2023-03, 2023-04</t>
        </is>
      </c>
    </row>
    <row r="43">
      <c r="A43" t="n">
        <v>41</v>
      </c>
      <c r="B43" s="10" t="n">
        <v>1</v>
      </c>
      <c r="C43" s="12" t="n"/>
      <c r="D43" s="10">
        <f>IF(ISNUMBER(C43),C43,B43)</f>
        <v/>
      </c>
      <c r="E43" s="13">
        <f>1/PRODUCT(D43:D46)</f>
        <v/>
      </c>
      <c r="F43" t="inlineStr">
        <is>
          <t>2023-02, 2023-03</t>
        </is>
      </c>
    </row>
    <row r="44">
      <c r="A44" t="n">
        <v>42</v>
      </c>
      <c r="B44" s="10" t="n">
        <v>1</v>
      </c>
      <c r="C44" s="12" t="n"/>
      <c r="D44" s="10">
        <f>IF(ISNUMBER(C44),C44,B44)</f>
        <v/>
      </c>
      <c r="E44" s="13">
        <f>1/PRODUCT(D44:D46)</f>
        <v/>
      </c>
      <c r="F44" t="inlineStr">
        <is>
          <t>2023-01, 2023-02</t>
        </is>
      </c>
    </row>
    <row r="45">
      <c r="A45" t="n">
        <v>43</v>
      </c>
      <c r="B45" s="10" t="n">
        <v>1</v>
      </c>
      <c r="C45" s="12" t="n"/>
      <c r="D45" s="10">
        <f>IF(ISNUMBER(C45),C45,B45)</f>
        <v/>
      </c>
      <c r="E45" s="13">
        <f>1/PRODUCT(D45:D46)</f>
        <v/>
      </c>
      <c r="F45" t="inlineStr">
        <is>
          <t>2023-01</t>
        </is>
      </c>
    </row>
    <row r="46">
      <c r="A46" t="n">
        <v>44</v>
      </c>
      <c r="B46" s="10" t="n">
        <v>1</v>
      </c>
      <c r="C46" s="12" t="n"/>
      <c r="D46" s="10">
        <f>IF(ISNUMBER(C46),C46,B46)</f>
        <v/>
      </c>
      <c r="E46" s="13">
        <f>1/PRODUCT(D46:D46)</f>
        <v/>
      </c>
      <c r="F46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  <col width="14" customWidth="1" min="12" max="12"/>
    <col width="18" customWidth="1" min="13" max="13"/>
  </cols>
  <sheetData>
    <row r="1">
      <c r="A1" s="3" t="inlineStr">
        <is>
          <t>Incurred</t>
        </is>
      </c>
      <c r="B1" s="3" t="inlineStr">
        <is>
          <t>Member months</t>
        </is>
      </c>
      <c r="C1" s="3" t="inlineStr">
        <is>
          <t>Age</t>
        </is>
      </c>
      <c r="D1" s="3" t="inlineStr">
        <is>
          <t>Paid to date</t>
        </is>
      </c>
      <c r="E1" s="3" t="inlineStr">
        <is>
          <t>Paid for estimation</t>
        </is>
      </c>
      <c r="F1" s="3" t="inlineStr">
        <is>
          <t>Completion factor</t>
        </is>
      </c>
      <c r="G1" s="3" t="inlineStr">
        <is>
          <t>CF ultimate</t>
        </is>
      </c>
      <c r="H1" s="3" t="inlineStr">
        <is>
          <t>Expected PMPM</t>
        </is>
      </c>
      <c r="I1" s="3" t="inlineStr">
        <is>
          <t>Expected claims</t>
        </is>
      </c>
      <c r="J1" s="3" t="inlineStr">
        <is>
          <t>B-F ultimate</t>
        </is>
      </c>
      <c r="K1" s="3" t="inlineStr">
        <is>
          <t>Selected ultimate</t>
        </is>
      </c>
      <c r="L1" s="3" t="inlineStr">
        <is>
          <t>IBNR</t>
        </is>
      </c>
      <c r="M1" s="3" t="inlineStr">
        <is>
          <t>Method</t>
        </is>
      </c>
    </row>
    <row r="2">
      <c r="A2" s="6" t="inlineStr">
        <is>
          <t>2023-01</t>
        </is>
      </c>
      <c r="B2" s="14" t="n">
        <v>185202</v>
      </c>
      <c r="C2" t="n">
        <v>44</v>
      </c>
      <c r="D2" s="4">
        <f>'IP Triangle'!AT2</f>
        <v/>
      </c>
      <c r="E2" s="4">
        <f>'IP Triangle'!AS2+(D2-'IP Triangle'!AS2)/Assumptions!$B$6</f>
        <v/>
      </c>
      <c r="F2" s="13">
        <f>INDEX('IP Factors'!$E:$E,C2+2)</f>
        <v/>
      </c>
      <c r="G2" s="4">
        <f>E2/F2</f>
        <v/>
      </c>
      <c r="H2" s="15" t="n">
        <v>97.560013</v>
      </c>
      <c r="I2" s="4">
        <f>H2*B2</f>
        <v/>
      </c>
      <c r="J2" s="4">
        <f>E2+(1-F2)*I2</f>
        <v/>
      </c>
      <c r="K2" s="4">
        <f>IF(C2&gt;=Assumptions!$B$3,G2,J2)</f>
        <v/>
      </c>
      <c r="L2" s="4">
        <f>K2-D2</f>
        <v/>
      </c>
      <c r="M2">
        <f>IF(C2&gt;=Assumptions!$B$3,"Completion factor","PMPM / B-F")</f>
        <v/>
      </c>
    </row>
    <row r="3">
      <c r="A3" s="6" t="inlineStr">
        <is>
          <t>2023-02</t>
        </is>
      </c>
      <c r="B3" s="14" t="n">
        <v>185248</v>
      </c>
      <c r="C3" t="n">
        <v>43</v>
      </c>
      <c r="D3" s="4">
        <f>'IP Triangle'!AS3</f>
        <v/>
      </c>
      <c r="E3" s="4">
        <f>'IP Triangle'!AR3+(D3-'IP Triangle'!AR3)/Assumptions!$B$6</f>
        <v/>
      </c>
      <c r="F3" s="13">
        <f>INDEX('IP Factors'!$E:$E,C3+2)</f>
        <v/>
      </c>
      <c r="G3" s="4">
        <f>E3/F3</f>
        <v/>
      </c>
      <c r="H3" s="15" t="n">
        <v>96.35981099999999</v>
      </c>
      <c r="I3" s="4">
        <f>H3*B3</f>
        <v/>
      </c>
      <c r="J3" s="4">
        <f>E3+(1-F3)*I3</f>
        <v/>
      </c>
      <c r="K3" s="4">
        <f>IF(C3&gt;=Assumptions!$B$3,G3,J3)</f>
        <v/>
      </c>
      <c r="L3" s="4">
        <f>K3-D3</f>
        <v/>
      </c>
      <c r="M3">
        <f>IF(C3&gt;=Assumptions!$B$3,"Completion factor","PMPM / B-F")</f>
        <v/>
      </c>
    </row>
    <row r="4">
      <c r="A4" s="6" t="inlineStr">
        <is>
          <t>2023-03</t>
        </is>
      </c>
      <c r="B4" s="14" t="n">
        <v>185435</v>
      </c>
      <c r="C4" t="n">
        <v>42</v>
      </c>
      <c r="D4" s="4">
        <f>'IP Triangle'!AR4</f>
        <v/>
      </c>
      <c r="E4" s="4">
        <f>'IP Triangle'!AQ4+(D4-'IP Triangle'!AQ4)/Assumptions!$B$6</f>
        <v/>
      </c>
      <c r="F4" s="13">
        <f>INDEX('IP Factors'!$E:$E,C4+2)</f>
        <v/>
      </c>
      <c r="G4" s="4">
        <f>E4/F4</f>
        <v/>
      </c>
      <c r="H4" s="15" t="n">
        <v>96.57283200000001</v>
      </c>
      <c r="I4" s="4">
        <f>H4*B4</f>
        <v/>
      </c>
      <c r="J4" s="4">
        <f>E4+(1-F4)*I4</f>
        <v/>
      </c>
      <c r="K4" s="4">
        <f>IF(C4&gt;=Assumptions!$B$3,G4,J4)</f>
        <v/>
      </c>
      <c r="L4" s="4">
        <f>K4-D4</f>
        <v/>
      </c>
      <c r="M4">
        <f>IF(C4&gt;=Assumptions!$B$3,"Completion factor","PMPM / B-F")</f>
        <v/>
      </c>
    </row>
    <row r="5">
      <c r="A5" s="6" t="inlineStr">
        <is>
          <t>2023-04</t>
        </is>
      </c>
      <c r="B5" s="14" t="n">
        <v>185785</v>
      </c>
      <c r="C5" t="n">
        <v>41</v>
      </c>
      <c r="D5" s="4">
        <f>'IP Triangle'!AQ5</f>
        <v/>
      </c>
      <c r="E5" s="4">
        <f>'IP Triangle'!AP5+(D5-'IP Triangle'!AP5)/Assumptions!$B$6</f>
        <v/>
      </c>
      <c r="F5" s="13">
        <f>INDEX('IP Factors'!$E:$E,C5+2)</f>
        <v/>
      </c>
      <c r="G5" s="4">
        <f>E5/F5</f>
        <v/>
      </c>
      <c r="H5" s="15" t="n">
        <v>103.706074</v>
      </c>
      <c r="I5" s="4">
        <f>H5*B5</f>
        <v/>
      </c>
      <c r="J5" s="4">
        <f>E5+(1-F5)*I5</f>
        <v/>
      </c>
      <c r="K5" s="4">
        <f>IF(C5&gt;=Assumptions!$B$3,G5,J5)</f>
        <v/>
      </c>
      <c r="L5" s="4">
        <f>K5-D5</f>
        <v/>
      </c>
      <c r="M5">
        <f>IF(C5&gt;=Assumptions!$B$3,"Completion factor","PMPM / B-F")</f>
        <v/>
      </c>
    </row>
    <row r="6">
      <c r="A6" s="6" t="inlineStr">
        <is>
          <t>2023-05</t>
        </is>
      </c>
      <c r="B6" s="14" t="n">
        <v>185684</v>
      </c>
      <c r="C6" t="n">
        <v>40</v>
      </c>
      <c r="D6" s="4">
        <f>'IP Triangle'!AP6</f>
        <v/>
      </c>
      <c r="E6" s="4">
        <f>'IP Triangle'!AO6+(D6-'IP Triangle'!AO6)/Assumptions!$B$6</f>
        <v/>
      </c>
      <c r="F6" s="13">
        <f>INDEX('IP Factors'!$E:$E,C6+2)</f>
        <v/>
      </c>
      <c r="G6" s="4">
        <f>E6/F6</f>
        <v/>
      </c>
      <c r="H6" s="15" t="n">
        <v>103.155339</v>
      </c>
      <c r="I6" s="4">
        <f>H6*B6</f>
        <v/>
      </c>
      <c r="J6" s="4">
        <f>E6+(1-F6)*I6</f>
        <v/>
      </c>
      <c r="K6" s="4">
        <f>IF(C6&gt;=Assumptions!$B$3,G6,J6)</f>
        <v/>
      </c>
      <c r="L6" s="4">
        <f>K6-D6</f>
        <v/>
      </c>
      <c r="M6">
        <f>IF(C6&gt;=Assumptions!$B$3,"Completion factor","PMPM / B-F")</f>
        <v/>
      </c>
    </row>
    <row r="7">
      <c r="A7" s="6" t="inlineStr">
        <is>
          <t>2023-06</t>
        </is>
      </c>
      <c r="B7" s="14" t="n">
        <v>186376</v>
      </c>
      <c r="C7" t="n">
        <v>39</v>
      </c>
      <c r="D7" s="4">
        <f>'IP Triangle'!AO7</f>
        <v/>
      </c>
      <c r="E7" s="4">
        <f>'IP Triangle'!AN7+(D7-'IP Triangle'!AN7)/Assumptions!$B$6</f>
        <v/>
      </c>
      <c r="F7" s="13">
        <f>INDEX('IP Factors'!$E:$E,C7+2)</f>
        <v/>
      </c>
      <c r="G7" s="4">
        <f>E7/F7</f>
        <v/>
      </c>
      <c r="H7" s="15" t="n">
        <v>101.312385</v>
      </c>
      <c r="I7" s="4">
        <f>H7*B7</f>
        <v/>
      </c>
      <c r="J7" s="4">
        <f>E7+(1-F7)*I7</f>
        <v/>
      </c>
      <c r="K7" s="4">
        <f>IF(C7&gt;=Assumptions!$B$3,G7,J7)</f>
        <v/>
      </c>
      <c r="L7" s="4">
        <f>K7-D7</f>
        <v/>
      </c>
      <c r="M7">
        <f>IF(C7&gt;=Assumptions!$B$3,"Completion factor","PMPM / B-F")</f>
        <v/>
      </c>
    </row>
    <row r="8">
      <c r="A8" s="6" t="inlineStr">
        <is>
          <t>2023-07</t>
        </is>
      </c>
      <c r="B8" s="14" t="n">
        <v>186902</v>
      </c>
      <c r="C8" t="n">
        <v>38</v>
      </c>
      <c r="D8" s="4">
        <f>'IP Triangle'!AN8</f>
        <v/>
      </c>
      <c r="E8" s="4">
        <f>'IP Triangle'!AM8+(D8-'IP Triangle'!AM8)/Assumptions!$B$6</f>
        <v/>
      </c>
      <c r="F8" s="13">
        <f>INDEX('IP Factors'!$E:$E,C8+2)</f>
        <v/>
      </c>
      <c r="G8" s="4">
        <f>E8/F8</f>
        <v/>
      </c>
      <c r="H8" s="15" t="n">
        <v>98.79096800000001</v>
      </c>
      <c r="I8" s="4">
        <f>H8*B8</f>
        <v/>
      </c>
      <c r="J8" s="4">
        <f>E8+(1-F8)*I8</f>
        <v/>
      </c>
      <c r="K8" s="4">
        <f>IF(C8&gt;=Assumptions!$B$3,G8,J8)</f>
        <v/>
      </c>
      <c r="L8" s="4">
        <f>K8-D8</f>
        <v/>
      </c>
      <c r="M8">
        <f>IF(C8&gt;=Assumptions!$B$3,"Completion factor","PMPM / B-F")</f>
        <v/>
      </c>
    </row>
    <row r="9">
      <c r="A9" s="6" t="inlineStr">
        <is>
          <t>2023-08</t>
        </is>
      </c>
      <c r="B9" s="14" t="n">
        <v>187226</v>
      </c>
      <c r="C9" t="n">
        <v>37</v>
      </c>
      <c r="D9" s="4">
        <f>'IP Triangle'!AM9</f>
        <v/>
      </c>
      <c r="E9" s="4">
        <f>'IP Triangle'!AL9+(D9-'IP Triangle'!AL9)/Assumptions!$B$6</f>
        <v/>
      </c>
      <c r="F9" s="13">
        <f>INDEX('IP Factors'!$E:$E,C9+2)</f>
        <v/>
      </c>
      <c r="G9" s="4">
        <f>E9/F9</f>
        <v/>
      </c>
      <c r="H9" s="15" t="n">
        <v>99.086726</v>
      </c>
      <c r="I9" s="4">
        <f>H9*B9</f>
        <v/>
      </c>
      <c r="J9" s="4">
        <f>E9+(1-F9)*I9</f>
        <v/>
      </c>
      <c r="K9" s="4">
        <f>IF(C9&gt;=Assumptions!$B$3,G9,J9)</f>
        <v/>
      </c>
      <c r="L9" s="4">
        <f>K9-D9</f>
        <v/>
      </c>
      <c r="M9">
        <f>IF(C9&gt;=Assumptions!$B$3,"Completion factor","PMPM / B-F")</f>
        <v/>
      </c>
    </row>
    <row r="10">
      <c r="A10" s="6" t="inlineStr">
        <is>
          <t>2023-09</t>
        </is>
      </c>
      <c r="B10" s="14" t="n">
        <v>187750</v>
      </c>
      <c r="C10" t="n">
        <v>36</v>
      </c>
      <c r="D10" s="4">
        <f>'IP Triangle'!AL10</f>
        <v/>
      </c>
      <c r="E10" s="4">
        <f>'IP Triangle'!AK10+(D10-'IP Triangle'!AK10)/Assumptions!$B$6</f>
        <v/>
      </c>
      <c r="F10" s="13">
        <f>INDEX('IP Factors'!$E:$E,C10+2)</f>
        <v/>
      </c>
      <c r="G10" s="4">
        <f>E10/F10</f>
        <v/>
      </c>
      <c r="H10" s="15" t="n">
        <v>102.080367</v>
      </c>
      <c r="I10" s="4">
        <f>H10*B10</f>
        <v/>
      </c>
      <c r="J10" s="4">
        <f>E10+(1-F10)*I10</f>
        <v/>
      </c>
      <c r="K10" s="4">
        <f>IF(C10&gt;=Assumptions!$B$3,G10,J10)</f>
        <v/>
      </c>
      <c r="L10" s="4">
        <f>K10-D10</f>
        <v/>
      </c>
      <c r="M10">
        <f>IF(C10&gt;=Assumptions!$B$3,"Completion factor","PMPM / B-F")</f>
        <v/>
      </c>
    </row>
    <row r="11">
      <c r="A11" s="6" t="inlineStr">
        <is>
          <t>2023-10</t>
        </is>
      </c>
      <c r="B11" s="14" t="n">
        <v>187725</v>
      </c>
      <c r="C11" t="n">
        <v>35</v>
      </c>
      <c r="D11" s="4">
        <f>'IP Triangle'!AK11</f>
        <v/>
      </c>
      <c r="E11" s="4">
        <f>'IP Triangle'!AJ11+(D11-'IP Triangle'!AJ11)/Assumptions!$B$6</f>
        <v/>
      </c>
      <c r="F11" s="13">
        <f>INDEX('IP Factors'!$E:$E,C11+2)</f>
        <v/>
      </c>
      <c r="G11" s="4">
        <f>E11/F11</f>
        <v/>
      </c>
      <c r="H11" s="15" t="n">
        <v>110.810259</v>
      </c>
      <c r="I11" s="4">
        <f>H11*B11</f>
        <v/>
      </c>
      <c r="J11" s="4">
        <f>E11+(1-F11)*I11</f>
        <v/>
      </c>
      <c r="K11" s="4">
        <f>IF(C11&gt;=Assumptions!$B$3,G11,J11)</f>
        <v/>
      </c>
      <c r="L11" s="4">
        <f>K11-D11</f>
        <v/>
      </c>
      <c r="M11">
        <f>IF(C11&gt;=Assumptions!$B$3,"Completion factor","PMPM / B-F")</f>
        <v/>
      </c>
    </row>
    <row r="12">
      <c r="A12" s="6" t="inlineStr">
        <is>
          <t>2023-11</t>
        </is>
      </c>
      <c r="B12" s="14" t="n">
        <v>187816</v>
      </c>
      <c r="C12" t="n">
        <v>34</v>
      </c>
      <c r="D12" s="4">
        <f>'IP Triangle'!AJ12</f>
        <v/>
      </c>
      <c r="E12" s="4">
        <f>'IP Triangle'!AI12+(D12-'IP Triangle'!AI12)/Assumptions!$B$6</f>
        <v/>
      </c>
      <c r="F12" s="13">
        <f>INDEX('IP Factors'!$E:$E,C12+2)</f>
        <v/>
      </c>
      <c r="G12" s="4">
        <f>E12/F12</f>
        <v/>
      </c>
      <c r="H12" s="15" t="n">
        <v>109.758842</v>
      </c>
      <c r="I12" s="4">
        <f>H12*B12</f>
        <v/>
      </c>
      <c r="J12" s="4">
        <f>E12+(1-F12)*I12</f>
        <v/>
      </c>
      <c r="K12" s="4">
        <f>IF(C12&gt;=Assumptions!$B$3,G12,J12)</f>
        <v/>
      </c>
      <c r="L12" s="4">
        <f>K12-D12</f>
        <v/>
      </c>
      <c r="M12">
        <f>IF(C12&gt;=Assumptions!$B$3,"Completion factor","PMPM / B-F")</f>
        <v/>
      </c>
    </row>
    <row r="13">
      <c r="A13" s="6" t="inlineStr">
        <is>
          <t>2023-12</t>
        </is>
      </c>
      <c r="B13" s="14" t="n">
        <v>188296</v>
      </c>
      <c r="C13" t="n">
        <v>33</v>
      </c>
      <c r="D13" s="4">
        <f>'IP Triangle'!AI13</f>
        <v/>
      </c>
      <c r="E13" s="4">
        <f>'IP Triangle'!AH13+(D13-'IP Triangle'!AH13)/Assumptions!$B$6</f>
        <v/>
      </c>
      <c r="F13" s="13">
        <f>INDEX('IP Factors'!$E:$E,C13+2)</f>
        <v/>
      </c>
      <c r="G13" s="4">
        <f>E13/F13</f>
        <v/>
      </c>
      <c r="H13" s="15" t="n">
        <v>115.933236</v>
      </c>
      <c r="I13" s="4">
        <f>H13*B13</f>
        <v/>
      </c>
      <c r="J13" s="4">
        <f>E13+(1-F13)*I13</f>
        <v/>
      </c>
      <c r="K13" s="4">
        <f>IF(C13&gt;=Assumptions!$B$3,G13,J13)</f>
        <v/>
      </c>
      <c r="L13" s="4">
        <f>K13-D13</f>
        <v/>
      </c>
      <c r="M13">
        <f>IF(C13&gt;=Assumptions!$B$3,"Completion factor","PMPM / B-F")</f>
        <v/>
      </c>
    </row>
    <row r="14">
      <c r="A14" s="6" t="inlineStr">
        <is>
          <t>2024-01</t>
        </is>
      </c>
      <c r="B14" s="14" t="n">
        <v>195186</v>
      </c>
      <c r="C14" t="n">
        <v>32</v>
      </c>
      <c r="D14" s="4">
        <f>'IP Triangle'!AH14</f>
        <v/>
      </c>
      <c r="E14" s="4">
        <f>'IP Triangle'!AG14+(D14-'IP Triangle'!AG14)/Assumptions!$B$6</f>
        <v/>
      </c>
      <c r="F14" s="13">
        <f>INDEX('IP Factors'!$E:$E,C14+2)</f>
        <v/>
      </c>
      <c r="G14" s="4">
        <f>E14/F14</f>
        <v/>
      </c>
      <c r="H14" s="15" t="n">
        <v>102.224078</v>
      </c>
      <c r="I14" s="4">
        <f>H14*B14</f>
        <v/>
      </c>
      <c r="J14" s="4">
        <f>E14+(1-F14)*I14</f>
        <v/>
      </c>
      <c r="K14" s="4">
        <f>IF(C14&gt;=Assumptions!$B$3,G14,J14)</f>
        <v/>
      </c>
      <c r="L14" s="4">
        <f>K14-D14</f>
        <v/>
      </c>
      <c r="M14">
        <f>IF(C14&gt;=Assumptions!$B$3,"Completion factor","PMPM / B-F")</f>
        <v/>
      </c>
    </row>
    <row r="15">
      <c r="A15" s="6" t="inlineStr">
        <is>
          <t>2024-02</t>
        </is>
      </c>
      <c r="B15" s="14" t="n">
        <v>195754</v>
      </c>
      <c r="C15" t="n">
        <v>31</v>
      </c>
      <c r="D15" s="4">
        <f>'IP Triangle'!AG15</f>
        <v/>
      </c>
      <c r="E15" s="4">
        <f>'IP Triangle'!AF15+(D15-'IP Triangle'!AF15)/Assumptions!$B$6</f>
        <v/>
      </c>
      <c r="F15" s="13">
        <f>INDEX('IP Factors'!$E:$E,C15+2)</f>
        <v/>
      </c>
      <c r="G15" s="4">
        <f>E15/F15</f>
        <v/>
      </c>
      <c r="H15" s="15" t="n">
        <v>100.966497</v>
      </c>
      <c r="I15" s="4">
        <f>H15*B15</f>
        <v/>
      </c>
      <c r="J15" s="4">
        <f>E15+(1-F15)*I15</f>
        <v/>
      </c>
      <c r="K15" s="4">
        <f>IF(C15&gt;=Assumptions!$B$3,G15,J15)</f>
        <v/>
      </c>
      <c r="L15" s="4">
        <f>K15-D15</f>
        <v/>
      </c>
      <c r="M15">
        <f>IF(C15&gt;=Assumptions!$B$3,"Completion factor","PMPM / B-F")</f>
        <v/>
      </c>
    </row>
    <row r="16">
      <c r="A16" s="6" t="inlineStr">
        <is>
          <t>2024-03</t>
        </is>
      </c>
      <c r="B16" s="14" t="n">
        <v>196371</v>
      </c>
      <c r="C16" t="n">
        <v>30</v>
      </c>
      <c r="D16" s="4">
        <f>'IP Triangle'!AF16</f>
        <v/>
      </c>
      <c r="E16" s="4">
        <f>'IP Triangle'!AE16+(D16-'IP Triangle'!AE16)/Assumptions!$B$6</f>
        <v/>
      </c>
      <c r="F16" s="13">
        <f>INDEX('IP Factors'!$E:$E,C16+2)</f>
        <v/>
      </c>
      <c r="G16" s="4">
        <f>E16/F16</f>
        <v/>
      </c>
      <c r="H16" s="15" t="n">
        <v>101.189703</v>
      </c>
      <c r="I16" s="4">
        <f>H16*B16</f>
        <v/>
      </c>
      <c r="J16" s="4">
        <f>E16+(1-F16)*I16</f>
        <v/>
      </c>
      <c r="K16" s="4">
        <f>IF(C16&gt;=Assumptions!$B$3,G16,J16)</f>
        <v/>
      </c>
      <c r="L16" s="4">
        <f>K16-D16</f>
        <v/>
      </c>
      <c r="M16">
        <f>IF(C16&gt;=Assumptions!$B$3,"Completion factor","PMPM / B-F")</f>
        <v/>
      </c>
    </row>
    <row r="17">
      <c r="A17" s="6" t="inlineStr">
        <is>
          <t>2024-04</t>
        </is>
      </c>
      <c r="B17" s="14" t="n">
        <v>196912</v>
      </c>
      <c r="C17" t="n">
        <v>29</v>
      </c>
      <c r="D17" s="4">
        <f>'IP Triangle'!AE17</f>
        <v/>
      </c>
      <c r="E17" s="4">
        <f>'IP Triangle'!AD17+(D17-'IP Triangle'!AD17)/Assumptions!$B$6</f>
        <v/>
      </c>
      <c r="F17" s="13">
        <f>INDEX('IP Factors'!$E:$E,C17+2)</f>
        <v/>
      </c>
      <c r="G17" s="4">
        <f>E17/F17</f>
        <v/>
      </c>
      <c r="H17" s="15" t="n">
        <v>108.663964</v>
      </c>
      <c r="I17" s="4">
        <f>H17*B17</f>
        <v/>
      </c>
      <c r="J17" s="4">
        <f>E17+(1-F17)*I17</f>
        <v/>
      </c>
      <c r="K17" s="4">
        <f>IF(C17&gt;=Assumptions!$B$3,G17,J17)</f>
        <v/>
      </c>
      <c r="L17" s="4">
        <f>K17-D17</f>
        <v/>
      </c>
      <c r="M17">
        <f>IF(C17&gt;=Assumptions!$B$3,"Completion factor","PMPM / B-F")</f>
        <v/>
      </c>
    </row>
    <row r="18">
      <c r="A18" s="6" t="inlineStr">
        <is>
          <t>2024-05</t>
        </is>
      </c>
      <c r="B18" s="14" t="n">
        <v>197352</v>
      </c>
      <c r="C18" t="n">
        <v>28</v>
      </c>
      <c r="D18" s="4">
        <f>'IP Triangle'!AD18</f>
        <v/>
      </c>
      <c r="E18" s="4">
        <f>'IP Triangle'!AC18+(D18-'IP Triangle'!AC18)/Assumptions!$B$6</f>
        <v/>
      </c>
      <c r="F18" s="13">
        <f>INDEX('IP Factors'!$E:$E,C18+2)</f>
        <v/>
      </c>
      <c r="G18" s="4">
        <f>E18/F18</f>
        <v/>
      </c>
      <c r="H18" s="15" t="n">
        <v>108.086901</v>
      </c>
      <c r="I18" s="4">
        <f>H18*B18</f>
        <v/>
      </c>
      <c r="J18" s="4">
        <f>E18+(1-F18)*I18</f>
        <v/>
      </c>
      <c r="K18" s="4">
        <f>IF(C18&gt;=Assumptions!$B$3,G18,J18)</f>
        <v/>
      </c>
      <c r="L18" s="4">
        <f>K18-D18</f>
        <v/>
      </c>
      <c r="M18">
        <f>IF(C18&gt;=Assumptions!$B$3,"Completion factor","PMPM / B-F")</f>
        <v/>
      </c>
    </row>
    <row r="19">
      <c r="A19" s="6" t="inlineStr">
        <is>
          <t>2024-06</t>
        </is>
      </c>
      <c r="B19" s="14" t="n">
        <v>198493</v>
      </c>
      <c r="C19" t="n">
        <v>27</v>
      </c>
      <c r="D19" s="4">
        <f>'IP Triangle'!AC19</f>
        <v/>
      </c>
      <c r="E19" s="4">
        <f>'IP Triangle'!AB19+(D19-'IP Triangle'!AB19)/Assumptions!$B$6</f>
        <v/>
      </c>
      <c r="F19" s="13">
        <f>INDEX('IP Factors'!$E:$E,C19+2)</f>
        <v/>
      </c>
      <c r="G19" s="4">
        <f>E19/F19</f>
        <v/>
      </c>
      <c r="H19" s="15" t="n">
        <v>106.15584</v>
      </c>
      <c r="I19" s="4">
        <f>H19*B19</f>
        <v/>
      </c>
      <c r="J19" s="4">
        <f>E19+(1-F19)*I19</f>
        <v/>
      </c>
      <c r="K19" s="4">
        <f>IF(C19&gt;=Assumptions!$B$3,G19,J19)</f>
        <v/>
      </c>
      <c r="L19" s="4">
        <f>K19-D19</f>
        <v/>
      </c>
      <c r="M19">
        <f>IF(C19&gt;=Assumptions!$B$3,"Completion factor","PMPM / B-F")</f>
        <v/>
      </c>
    </row>
    <row r="20">
      <c r="A20" s="6" t="inlineStr">
        <is>
          <t>2024-07</t>
        </is>
      </c>
      <c r="B20" s="14" t="n">
        <v>198829</v>
      </c>
      <c r="C20" t="n">
        <v>26</v>
      </c>
      <c r="D20" s="4">
        <f>'IP Triangle'!AB20</f>
        <v/>
      </c>
      <c r="E20" s="4">
        <f>'IP Triangle'!AA20+(D20-'IP Triangle'!AA20)/Assumptions!$B$6</f>
        <v/>
      </c>
      <c r="F20" s="13">
        <f>INDEX('IP Factors'!$E:$E,C20+2)</f>
        <v/>
      </c>
      <c r="G20" s="4">
        <f>E20/F20</f>
        <v/>
      </c>
      <c r="H20" s="15" t="n">
        <v>103.513881</v>
      </c>
      <c r="I20" s="4">
        <f>H20*B20</f>
        <v/>
      </c>
      <c r="J20" s="4">
        <f>E20+(1-F20)*I20</f>
        <v/>
      </c>
      <c r="K20" s="4">
        <f>IF(C20&gt;=Assumptions!$B$3,G20,J20)</f>
        <v/>
      </c>
      <c r="L20" s="4">
        <f>K20-D20</f>
        <v/>
      </c>
      <c r="M20">
        <f>IF(C20&gt;=Assumptions!$B$3,"Completion factor","PMPM / B-F")</f>
        <v/>
      </c>
    </row>
    <row r="21">
      <c r="A21" s="6" t="inlineStr">
        <is>
          <t>2024-08</t>
        </is>
      </c>
      <c r="B21" s="14" t="n">
        <v>199099</v>
      </c>
      <c r="C21" t="n">
        <v>25</v>
      </c>
      <c r="D21" s="4">
        <f>'IP Triangle'!AA21</f>
        <v/>
      </c>
      <c r="E21" s="4">
        <f>'IP Triangle'!Z21+(D21-'IP Triangle'!Z21)/Assumptions!$B$6</f>
        <v/>
      </c>
      <c r="F21" s="13">
        <f>INDEX('IP Factors'!$E:$E,C21+2)</f>
        <v/>
      </c>
      <c r="G21" s="4">
        <f>E21/F21</f>
        <v/>
      </c>
      <c r="H21" s="15" t="n">
        <v>103.823778</v>
      </c>
      <c r="I21" s="4">
        <f>H21*B21</f>
        <v/>
      </c>
      <c r="J21" s="4">
        <f>E21+(1-F21)*I21</f>
        <v/>
      </c>
      <c r="K21" s="4">
        <f>IF(C21&gt;=Assumptions!$B$3,G21,J21)</f>
        <v/>
      </c>
      <c r="L21" s="4">
        <f>K21-D21</f>
        <v/>
      </c>
      <c r="M21">
        <f>IF(C21&gt;=Assumptions!$B$3,"Completion factor","PMPM / B-F")</f>
        <v/>
      </c>
    </row>
    <row r="22">
      <c r="A22" s="6" t="inlineStr">
        <is>
          <t>2024-09</t>
        </is>
      </c>
      <c r="B22" s="14" t="n">
        <v>199429</v>
      </c>
      <c r="C22" t="n">
        <v>24</v>
      </c>
      <c r="D22" s="4">
        <f>'IP Triangle'!Z22</f>
        <v/>
      </c>
      <c r="E22" s="4">
        <f>'IP Triangle'!Y22+(D22-'IP Triangle'!Y22)/Assumptions!$B$6</f>
        <v/>
      </c>
      <c r="F22" s="13">
        <f>INDEX('IP Factors'!$E:$E,C22+2)</f>
        <v/>
      </c>
      <c r="G22" s="4">
        <f>E22/F22</f>
        <v/>
      </c>
      <c r="H22" s="15" t="n">
        <v>106.960536</v>
      </c>
      <c r="I22" s="4">
        <f>H22*B22</f>
        <v/>
      </c>
      <c r="J22" s="4">
        <f>E22+(1-F22)*I22</f>
        <v/>
      </c>
      <c r="K22" s="4">
        <f>IF(C22&gt;=Assumptions!$B$3,G22,J22)</f>
        <v/>
      </c>
      <c r="L22" s="4">
        <f>K22-D22</f>
        <v/>
      </c>
      <c r="M22">
        <f>IF(C22&gt;=Assumptions!$B$3,"Completion factor","PMPM / B-F")</f>
        <v/>
      </c>
    </row>
    <row r="23">
      <c r="A23" s="6" t="inlineStr">
        <is>
          <t>2024-10</t>
        </is>
      </c>
      <c r="B23" s="14" t="n">
        <v>199749</v>
      </c>
      <c r="C23" t="n">
        <v>23</v>
      </c>
      <c r="D23" s="4">
        <f>'IP Triangle'!Y23</f>
        <v/>
      </c>
      <c r="E23" s="4">
        <f>'IP Triangle'!X23+(D23-'IP Triangle'!X23)/Assumptions!$B$6</f>
        <v/>
      </c>
      <c r="F23" s="13">
        <f>INDEX('IP Factors'!$E:$E,C23+2)</f>
        <v/>
      </c>
      <c r="G23" s="4">
        <f>E23/F23</f>
        <v/>
      </c>
      <c r="H23" s="15" t="n">
        <v>116.10778</v>
      </c>
      <c r="I23" s="4">
        <f>H23*B23</f>
        <v/>
      </c>
      <c r="J23" s="4">
        <f>E23+(1-F23)*I23</f>
        <v/>
      </c>
      <c r="K23" s="4">
        <f>IF(C23&gt;=Assumptions!$B$3,G23,J23)</f>
        <v/>
      </c>
      <c r="L23" s="4">
        <f>K23-D23</f>
        <v/>
      </c>
      <c r="M23">
        <f>IF(C23&gt;=Assumptions!$B$3,"Completion factor","PMPM / B-F")</f>
        <v/>
      </c>
    </row>
    <row r="24">
      <c r="A24" s="6" t="inlineStr">
        <is>
          <t>2024-11</t>
        </is>
      </c>
      <c r="B24" s="14" t="n">
        <v>200252</v>
      </c>
      <c r="C24" t="n">
        <v>22</v>
      </c>
      <c r="D24" s="4">
        <f>'IP Triangle'!X24</f>
        <v/>
      </c>
      <c r="E24" s="4">
        <f>'IP Triangle'!W24+(D24-'IP Triangle'!W24)/Assumptions!$B$6</f>
        <v/>
      </c>
      <c r="F24" s="13">
        <f>INDEX('IP Factors'!$E:$E,C24+2)</f>
        <v/>
      </c>
      <c r="G24" s="4">
        <f>E24/F24</f>
        <v/>
      </c>
      <c r="H24" s="15" t="n">
        <v>115.006098</v>
      </c>
      <c r="I24" s="4">
        <f>H24*B24</f>
        <v/>
      </c>
      <c r="J24" s="4">
        <f>E24+(1-F24)*I24</f>
        <v/>
      </c>
      <c r="K24" s="4">
        <f>IF(C24&gt;=Assumptions!$B$3,G24,J24)</f>
        <v/>
      </c>
      <c r="L24" s="4">
        <f>K24-D24</f>
        <v/>
      </c>
      <c r="M24">
        <f>IF(C24&gt;=Assumptions!$B$3,"Completion factor","PMPM / B-F")</f>
        <v/>
      </c>
    </row>
    <row r="25">
      <c r="A25" s="6" t="inlineStr">
        <is>
          <t>2024-12</t>
        </is>
      </c>
      <c r="B25" s="14" t="n">
        <v>200297</v>
      </c>
      <c r="C25" t="n">
        <v>21</v>
      </c>
      <c r="D25" s="4">
        <f>'IP Triangle'!W25</f>
        <v/>
      </c>
      <c r="E25" s="4">
        <f>'IP Triangle'!V25+(D25-'IP Triangle'!V25)/Assumptions!$B$6</f>
        <v/>
      </c>
      <c r="F25" s="13">
        <f>INDEX('IP Factors'!$E:$E,C25+2)</f>
        <v/>
      </c>
      <c r="G25" s="4">
        <f>E25/F25</f>
        <v/>
      </c>
      <c r="H25" s="15" t="n">
        <v>121.475672</v>
      </c>
      <c r="I25" s="4">
        <f>H25*B25</f>
        <v/>
      </c>
      <c r="J25" s="4">
        <f>E25+(1-F25)*I25</f>
        <v/>
      </c>
      <c r="K25" s="4">
        <f>IF(C25&gt;=Assumptions!$B$3,G25,J25)</f>
        <v/>
      </c>
      <c r="L25" s="4">
        <f>K25-D25</f>
        <v/>
      </c>
      <c r="M25">
        <f>IF(C25&gt;=Assumptions!$B$3,"Completion factor","PMPM / B-F")</f>
        <v/>
      </c>
    </row>
    <row r="26">
      <c r="A26" s="6" t="inlineStr">
        <is>
          <t>2025-01</t>
        </is>
      </c>
      <c r="B26" s="14" t="n">
        <v>206379</v>
      </c>
      <c r="C26" t="n">
        <v>20</v>
      </c>
      <c r="D26" s="4">
        <f>'IP Triangle'!V26</f>
        <v/>
      </c>
      <c r="E26" s="4">
        <f>'IP Triangle'!U26+(D26-'IP Triangle'!U26)/Assumptions!$B$6</f>
        <v/>
      </c>
      <c r="F26" s="13">
        <f>INDEX('IP Factors'!$E:$E,C26+2)</f>
        <v/>
      </c>
      <c r="G26" s="4">
        <f>E26/F26</f>
        <v/>
      </c>
      <c r="H26" s="15" t="n">
        <v>107.111118</v>
      </c>
      <c r="I26" s="4">
        <f>H26*B26</f>
        <v/>
      </c>
      <c r="J26" s="4">
        <f>E26+(1-F26)*I26</f>
        <v/>
      </c>
      <c r="K26" s="4">
        <f>IF(C26&gt;=Assumptions!$B$3,G26,J26)</f>
        <v/>
      </c>
      <c r="L26" s="4">
        <f>K26-D26</f>
        <v/>
      </c>
      <c r="M26">
        <f>IF(C26&gt;=Assumptions!$B$3,"Completion factor","PMPM / B-F")</f>
        <v/>
      </c>
    </row>
    <row r="27">
      <c r="A27" s="6" t="inlineStr">
        <is>
          <t>2025-02</t>
        </is>
      </c>
      <c r="B27" s="14" t="n">
        <v>206414</v>
      </c>
      <c r="C27" t="n">
        <v>19</v>
      </c>
      <c r="D27" s="4">
        <f>'IP Triangle'!U27</f>
        <v/>
      </c>
      <c r="E27" s="4">
        <f>'IP Triangle'!T27+(D27-'IP Triangle'!T27)/Assumptions!$B$6</f>
        <v/>
      </c>
      <c r="F27" s="13">
        <f>INDEX('IP Factors'!$E:$E,C27+2)</f>
        <v/>
      </c>
      <c r="G27" s="4">
        <f>E27/F27</f>
        <v/>
      </c>
      <c r="H27" s="15" t="n">
        <v>105.793416</v>
      </c>
      <c r="I27" s="4">
        <f>H27*B27</f>
        <v/>
      </c>
      <c r="J27" s="4">
        <f>E27+(1-F27)*I27</f>
        <v/>
      </c>
      <c r="K27" s="4">
        <f>IF(C27&gt;=Assumptions!$B$3,G27,J27)</f>
        <v/>
      </c>
      <c r="L27" s="4">
        <f>K27-D27</f>
        <v/>
      </c>
      <c r="M27">
        <f>IF(C27&gt;=Assumptions!$B$3,"Completion factor","PMPM / B-F")</f>
        <v/>
      </c>
    </row>
    <row r="28">
      <c r="A28" s="6" t="inlineStr">
        <is>
          <t>2025-03</t>
        </is>
      </c>
      <c r="B28" s="14" t="n">
        <v>207034</v>
      </c>
      <c r="C28" t="n">
        <v>18</v>
      </c>
      <c r="D28" s="4">
        <f>'IP Triangle'!T28</f>
        <v/>
      </c>
      <c r="E28" s="4">
        <f>'IP Triangle'!S28+(D28-'IP Triangle'!S28)/Assumptions!$B$6</f>
        <v/>
      </c>
      <c r="F28" s="13">
        <f>INDEX('IP Factors'!$E:$E,C28+2)</f>
        <v/>
      </c>
      <c r="G28" s="4">
        <f>E28/F28</f>
        <v/>
      </c>
      <c r="H28" s="15" t="n">
        <v>106.027293</v>
      </c>
      <c r="I28" s="4">
        <f>H28*B28</f>
        <v/>
      </c>
      <c r="J28" s="4">
        <f>E28+(1-F28)*I28</f>
        <v/>
      </c>
      <c r="K28" s="4">
        <f>IF(C28&gt;=Assumptions!$B$3,G28,J28)</f>
        <v/>
      </c>
      <c r="L28" s="4">
        <f>K28-D28</f>
        <v/>
      </c>
      <c r="M28">
        <f>IF(C28&gt;=Assumptions!$B$3,"Completion factor","PMPM / B-F")</f>
        <v/>
      </c>
    </row>
    <row r="29">
      <c r="A29" s="6" t="inlineStr">
        <is>
          <t>2025-04</t>
        </is>
      </c>
      <c r="B29" s="14" t="n">
        <v>207074</v>
      </c>
      <c r="C29" t="n">
        <v>17</v>
      </c>
      <c r="D29" s="4">
        <f>'IP Triangle'!S29</f>
        <v/>
      </c>
      <c r="E29" s="4">
        <f>'IP Triangle'!R29+(D29-'IP Triangle'!R29)/Assumptions!$B$6</f>
        <v/>
      </c>
      <c r="F29" s="13">
        <f>INDEX('IP Factors'!$E:$E,C29+2)</f>
        <v/>
      </c>
      <c r="G29" s="4">
        <f>E29/F29</f>
        <v/>
      </c>
      <c r="H29" s="15" t="n">
        <v>113.858877</v>
      </c>
      <c r="I29" s="4">
        <f>H29*B29</f>
        <v/>
      </c>
      <c r="J29" s="4">
        <f>E29+(1-F29)*I29</f>
        <v/>
      </c>
      <c r="K29" s="4">
        <f>IF(C29&gt;=Assumptions!$B$3,G29,J29)</f>
        <v/>
      </c>
      <c r="L29" s="4">
        <f>K29-D29</f>
        <v/>
      </c>
      <c r="M29">
        <f>IF(C29&gt;=Assumptions!$B$3,"Completion factor","PMPM / B-F")</f>
        <v/>
      </c>
    </row>
    <row r="30">
      <c r="A30" s="6" t="inlineStr">
        <is>
          <t>2025-05</t>
        </is>
      </c>
      <c r="B30" s="14" t="n">
        <v>207656</v>
      </c>
      <c r="C30" t="n">
        <v>16</v>
      </c>
      <c r="D30" s="4">
        <f>'IP Triangle'!R30</f>
        <v/>
      </c>
      <c r="E30" s="4">
        <f>'IP Triangle'!Q30+(D30-'IP Triangle'!Q30)/Assumptions!$B$6</f>
        <v/>
      </c>
      <c r="F30" s="13">
        <f>INDEX('IP Factors'!$E:$E,C30+2)</f>
        <v/>
      </c>
      <c r="G30" s="4">
        <f>E30/F30</f>
        <v/>
      </c>
      <c r="H30" s="15" t="n">
        <v>113.254226</v>
      </c>
      <c r="I30" s="4">
        <f>H30*B30</f>
        <v/>
      </c>
      <c r="J30" s="4">
        <f>E30+(1-F30)*I30</f>
        <v/>
      </c>
      <c r="K30" s="4">
        <f>IF(C30&gt;=Assumptions!$B$3,G30,J30)</f>
        <v/>
      </c>
      <c r="L30" s="4">
        <f>K30-D30</f>
        <v/>
      </c>
      <c r="M30">
        <f>IF(C30&gt;=Assumptions!$B$3,"Completion factor","PMPM / B-F")</f>
        <v/>
      </c>
    </row>
    <row r="31">
      <c r="A31" s="6" t="inlineStr">
        <is>
          <t>2025-06</t>
        </is>
      </c>
      <c r="B31" s="14" t="n">
        <v>208551</v>
      </c>
      <c r="C31" t="n">
        <v>15</v>
      </c>
      <c r="D31" s="4">
        <f>'IP Triangle'!Q31</f>
        <v/>
      </c>
      <c r="E31" s="4">
        <f>'IP Triangle'!P31+(D31-'IP Triangle'!P31)/Assumptions!$B$6</f>
        <v/>
      </c>
      <c r="F31" s="13">
        <f>INDEX('IP Factors'!$E:$E,C31+2)</f>
        <v/>
      </c>
      <c r="G31" s="4">
        <f>E31/F31</f>
        <v/>
      </c>
      <c r="H31" s="15" t="n">
        <v>111.230846</v>
      </c>
      <c r="I31" s="4">
        <f>H31*B31</f>
        <v/>
      </c>
      <c r="J31" s="4">
        <f>E31+(1-F31)*I31</f>
        <v/>
      </c>
      <c r="K31" s="4">
        <f>IF(C31&gt;=Assumptions!$B$3,G31,J31)</f>
        <v/>
      </c>
      <c r="L31" s="4">
        <f>K31-D31</f>
        <v/>
      </c>
      <c r="M31">
        <f>IF(C31&gt;=Assumptions!$B$3,"Completion factor","PMPM / B-F")</f>
        <v/>
      </c>
    </row>
    <row r="32">
      <c r="A32" s="6" t="inlineStr">
        <is>
          <t>2025-07</t>
        </is>
      </c>
      <c r="B32" s="14" t="n">
        <v>208290</v>
      </c>
      <c r="C32" t="n">
        <v>14</v>
      </c>
      <c r="D32" s="4">
        <f>'IP Triangle'!P32</f>
        <v/>
      </c>
      <c r="E32" s="4">
        <f>'IP Triangle'!O32+(D32-'IP Triangle'!O32)/Assumptions!$B$6</f>
        <v/>
      </c>
      <c r="F32" s="13">
        <f>INDEX('IP Factors'!$E:$E,C32+2)</f>
        <v/>
      </c>
      <c r="G32" s="4">
        <f>E32/F32</f>
        <v/>
      </c>
      <c r="H32" s="15" t="n">
        <v>108.462583</v>
      </c>
      <c r="I32" s="4">
        <f>H32*B32</f>
        <v/>
      </c>
      <c r="J32" s="4">
        <f>E32+(1-F32)*I32</f>
        <v/>
      </c>
      <c r="K32" s="4">
        <f>IF(C32&gt;=Assumptions!$B$3,G32,J32)</f>
        <v/>
      </c>
      <c r="L32" s="4">
        <f>K32-D32</f>
        <v/>
      </c>
      <c r="M32">
        <f>IF(C32&gt;=Assumptions!$B$3,"Completion factor","PMPM / B-F")</f>
        <v/>
      </c>
    </row>
    <row r="33">
      <c r="A33" s="6" t="inlineStr">
        <is>
          <t>2025-08</t>
        </is>
      </c>
      <c r="B33" s="14" t="n">
        <v>209114</v>
      </c>
      <c r="C33" t="n">
        <v>13</v>
      </c>
      <c r="D33" s="4">
        <f>'IP Triangle'!O33</f>
        <v/>
      </c>
      <c r="E33" s="4">
        <f>'IP Triangle'!N33+(D33-'IP Triangle'!N33)/Assumptions!$B$6</f>
        <v/>
      </c>
      <c r="F33" s="13">
        <f>INDEX('IP Factors'!$E:$E,C33+2)</f>
        <v/>
      </c>
      <c r="G33" s="4">
        <f>E33/F33</f>
        <v/>
      </c>
      <c r="H33" s="15" t="n">
        <v>108.787296</v>
      </c>
      <c r="I33" s="4">
        <f>H33*B33</f>
        <v/>
      </c>
      <c r="J33" s="4">
        <f>E33+(1-F33)*I33</f>
        <v/>
      </c>
      <c r="K33" s="4">
        <f>IF(C33&gt;=Assumptions!$B$3,G33,J33)</f>
        <v/>
      </c>
      <c r="L33" s="4">
        <f>K33-D33</f>
        <v/>
      </c>
      <c r="M33">
        <f>IF(C33&gt;=Assumptions!$B$3,"Completion factor","PMPM / B-F")</f>
        <v/>
      </c>
    </row>
    <row r="34">
      <c r="A34" s="6" t="inlineStr">
        <is>
          <t>2025-09</t>
        </is>
      </c>
      <c r="B34" s="14" t="n">
        <v>209604</v>
      </c>
      <c r="C34" t="n">
        <v>12</v>
      </c>
      <c r="D34" s="4">
        <f>'IP Triangle'!N34</f>
        <v/>
      </c>
      <c r="E34" s="4">
        <f>'IP Triangle'!M34+(D34-'IP Triangle'!M34)/Assumptions!$B$6</f>
        <v/>
      </c>
      <c r="F34" s="13">
        <f>INDEX('IP Factors'!$E:$E,C34+2)</f>
        <v/>
      </c>
      <c r="G34" s="4">
        <f>E34/F34</f>
        <v/>
      </c>
      <c r="H34" s="15" t="n">
        <v>112.074013</v>
      </c>
      <c r="I34" s="4">
        <f>H34*B34</f>
        <v/>
      </c>
      <c r="J34" s="4">
        <f>E34+(1-F34)*I34</f>
        <v/>
      </c>
      <c r="K34" s="4">
        <f>IF(C34&gt;=Assumptions!$B$3,G34,J34)</f>
        <v/>
      </c>
      <c r="L34" s="4">
        <f>K34-D34</f>
        <v/>
      </c>
      <c r="M34">
        <f>IF(C34&gt;=Assumptions!$B$3,"Completion factor","PMPM / B-F")</f>
        <v/>
      </c>
    </row>
    <row r="35">
      <c r="A35" s="6" t="inlineStr">
        <is>
          <t>2025-10</t>
        </is>
      </c>
      <c r="B35" s="14" t="n">
        <v>210074</v>
      </c>
      <c r="C35" t="n">
        <v>11</v>
      </c>
      <c r="D35" s="4">
        <f>'IP Triangle'!M35</f>
        <v/>
      </c>
      <c r="E35" s="4">
        <f>'IP Triangle'!L35+(D35-'IP Triangle'!L35)/Assumptions!$B$6</f>
        <v/>
      </c>
      <c r="F35" s="13">
        <f>INDEX('IP Factors'!$E:$E,C35+2)</f>
        <v/>
      </c>
      <c r="G35" s="4">
        <f>E35/F35</f>
        <v/>
      </c>
      <c r="H35" s="15" t="n">
        <v>121.65856</v>
      </c>
      <c r="I35" s="4">
        <f>H35*B35</f>
        <v/>
      </c>
      <c r="J35" s="4">
        <f>E35+(1-F35)*I35</f>
        <v/>
      </c>
      <c r="K35" s="4">
        <f>IF(C35&gt;=Assumptions!$B$3,G35,J35)</f>
        <v/>
      </c>
      <c r="L35" s="4">
        <f>K35-D35</f>
        <v/>
      </c>
      <c r="M35">
        <f>IF(C35&gt;=Assumptions!$B$3,"Completion factor","PMPM / B-F")</f>
        <v/>
      </c>
    </row>
    <row r="36">
      <c r="A36" s="6" t="inlineStr">
        <is>
          <t>2025-11</t>
        </is>
      </c>
      <c r="B36" s="14" t="n">
        <v>210375</v>
      </c>
      <c r="C36" t="n">
        <v>10</v>
      </c>
      <c r="D36" s="4">
        <f>'IP Triangle'!L36</f>
        <v/>
      </c>
      <c r="E36" s="4">
        <f>'IP Triangle'!K36+(D36-'IP Triangle'!K36)/Assumptions!$B$6</f>
        <v/>
      </c>
      <c r="F36" s="13">
        <f>INDEX('IP Factors'!$E:$E,C36+2)</f>
        <v/>
      </c>
      <c r="G36" s="4">
        <f>E36/F36</f>
        <v/>
      </c>
      <c r="H36" s="15" t="n">
        <v>120.50421</v>
      </c>
      <c r="I36" s="4">
        <f>H36*B36</f>
        <v/>
      </c>
      <c r="J36" s="4">
        <f>E36+(1-F36)*I36</f>
        <v/>
      </c>
      <c r="K36" s="4">
        <f>IF(C36&gt;=Assumptions!$B$3,G36,J36)</f>
        <v/>
      </c>
      <c r="L36" s="4">
        <f>K36-D36</f>
        <v/>
      </c>
      <c r="M36">
        <f>IF(C36&gt;=Assumptions!$B$3,"Completion factor","PMPM / B-F")</f>
        <v/>
      </c>
    </row>
    <row r="37">
      <c r="A37" s="6" t="inlineStr">
        <is>
          <t>2025-12</t>
        </is>
      </c>
      <c r="B37" s="14" t="n">
        <v>211296</v>
      </c>
      <c r="C37" t="n">
        <v>9</v>
      </c>
      <c r="D37" s="4">
        <f>'IP Triangle'!K37</f>
        <v/>
      </c>
      <c r="E37" s="4">
        <f>'IP Triangle'!J37+(D37-'IP Triangle'!J37)/Assumptions!$B$6</f>
        <v/>
      </c>
      <c r="F37" s="13">
        <f>INDEX('IP Factors'!$E:$E,C37+2)</f>
        <v/>
      </c>
      <c r="G37" s="4">
        <f>E37/F37</f>
        <v/>
      </c>
      <c r="H37" s="15" t="n">
        <v>127.283076</v>
      </c>
      <c r="I37" s="4">
        <f>H37*B37</f>
        <v/>
      </c>
      <c r="J37" s="4">
        <f>E37+(1-F37)*I37</f>
        <v/>
      </c>
      <c r="K37" s="4">
        <f>IF(C37&gt;=Assumptions!$B$3,G37,J37)</f>
        <v/>
      </c>
      <c r="L37" s="4">
        <f>K37-D37</f>
        <v/>
      </c>
      <c r="M37">
        <f>IF(C37&gt;=Assumptions!$B$3,"Completion factor","PMPM / B-F")</f>
        <v/>
      </c>
    </row>
    <row r="38">
      <c r="A38" s="6" t="inlineStr">
        <is>
          <t>2026-01</t>
        </is>
      </c>
      <c r="B38" s="14" t="n">
        <v>218809</v>
      </c>
      <c r="C38" t="n">
        <v>8</v>
      </c>
      <c r="D38" s="4">
        <f>'IP Triangle'!J38</f>
        <v/>
      </c>
      <c r="E38" s="4">
        <f>'IP Triangle'!I38+(D38-'IP Triangle'!I38)/Assumptions!$B$6</f>
        <v/>
      </c>
      <c r="F38" s="13">
        <f>INDEX('IP Factors'!$E:$E,C38+2)</f>
        <v/>
      </c>
      <c r="G38" s="4">
        <f>E38/F38</f>
        <v/>
      </c>
      <c r="H38" s="15" t="n">
        <v>112.231794</v>
      </c>
      <c r="I38" s="4">
        <f>H38*B38</f>
        <v/>
      </c>
      <c r="J38" s="4">
        <f>E38+(1-F38)*I38</f>
        <v/>
      </c>
      <c r="K38" s="4">
        <f>IF(C38&gt;=Assumptions!$B$3,G38,J38)</f>
        <v/>
      </c>
      <c r="L38" s="4">
        <f>K38-D38</f>
        <v/>
      </c>
      <c r="M38">
        <f>IF(C38&gt;=Assumptions!$B$3,"Completion factor","PMPM / B-F")</f>
        <v/>
      </c>
    </row>
    <row r="39">
      <c r="A39" s="6" t="inlineStr">
        <is>
          <t>2026-02</t>
        </is>
      </c>
      <c r="B39" s="14" t="n">
        <v>219372</v>
      </c>
      <c r="C39" t="n">
        <v>7</v>
      </c>
      <c r="D39" s="4">
        <f>'IP Triangle'!I39</f>
        <v/>
      </c>
      <c r="E39" s="4">
        <f>'IP Triangle'!H39+(D39-'IP Triangle'!H39)/Assumptions!$B$6</f>
        <v/>
      </c>
      <c r="F39" s="13">
        <f>INDEX('IP Factors'!$E:$E,C39+2)</f>
        <v/>
      </c>
      <c r="G39" s="4">
        <f>E39/F39</f>
        <v/>
      </c>
      <c r="H39" s="15" t="n">
        <v>110.851096</v>
      </c>
      <c r="I39" s="4">
        <f>H39*B39</f>
        <v/>
      </c>
      <c r="J39" s="4">
        <f>E39+(1-F39)*I39</f>
        <v/>
      </c>
      <c r="K39" s="4">
        <f>IF(C39&gt;=Assumptions!$B$3,G39,J39)</f>
        <v/>
      </c>
      <c r="L39" s="4">
        <f>K39-D39</f>
        <v/>
      </c>
      <c r="M39">
        <f>IF(C39&gt;=Assumptions!$B$3,"Completion factor","PMPM / B-F")</f>
        <v/>
      </c>
    </row>
    <row r="40">
      <c r="A40" s="6" t="inlineStr">
        <is>
          <t>2026-03</t>
        </is>
      </c>
      <c r="B40" s="14" t="n">
        <v>219455</v>
      </c>
      <c r="C40" t="n">
        <v>6</v>
      </c>
      <c r="D40" s="4">
        <f>'IP Triangle'!H40</f>
        <v/>
      </c>
      <c r="E40" s="4">
        <f>'IP Triangle'!G40+(D40-'IP Triangle'!G40)/Assumptions!$B$6</f>
        <v/>
      </c>
      <c r="F40" s="13">
        <f>INDEX('IP Factors'!$E:$E,C40+2)</f>
        <v/>
      </c>
      <c r="G40" s="4">
        <f>E40/F40</f>
        <v/>
      </c>
      <c r="H40" s="15" t="n">
        <v>111.096154</v>
      </c>
      <c r="I40" s="4">
        <f>H40*B40</f>
        <v/>
      </c>
      <c r="J40" s="4">
        <f>E40+(1-F40)*I40</f>
        <v/>
      </c>
      <c r="K40" s="4">
        <f>IF(C40&gt;=Assumptions!$B$3,G40,J40)</f>
        <v/>
      </c>
      <c r="L40" s="4">
        <f>K40-D40</f>
        <v/>
      </c>
      <c r="M40">
        <f>IF(C40&gt;=Assumptions!$B$3,"Completion factor","PMPM / B-F")</f>
        <v/>
      </c>
    </row>
    <row r="41">
      <c r="A41" s="6" t="inlineStr">
        <is>
          <t>2026-04</t>
        </is>
      </c>
      <c r="B41" s="14" t="n">
        <v>219206</v>
      </c>
      <c r="C41" t="n">
        <v>5</v>
      </c>
      <c r="D41" s="4">
        <f>'IP Triangle'!G41</f>
        <v/>
      </c>
      <c r="E41" s="4">
        <f>'IP Triangle'!F41+(D41-'IP Triangle'!F41)/Assumptions!$B$6</f>
        <v/>
      </c>
      <c r="F41" s="13">
        <f>INDEX('IP Factors'!$E:$E,C41+2)</f>
        <v/>
      </c>
      <c r="G41" s="4">
        <f>E41/F41</f>
        <v/>
      </c>
      <c r="H41" s="15" t="n">
        <v>119.302143</v>
      </c>
      <c r="I41" s="4">
        <f>H41*B41</f>
        <v/>
      </c>
      <c r="J41" s="4">
        <f>E41+(1-F41)*I41</f>
        <v/>
      </c>
      <c r="K41" s="4">
        <f>IF(C41&gt;=Assumptions!$B$3,G41,J41)</f>
        <v/>
      </c>
      <c r="L41" s="4">
        <f>K41-D41</f>
        <v/>
      </c>
      <c r="M41">
        <f>IF(C41&gt;=Assumptions!$B$3,"Completion factor","PMPM / B-F")</f>
        <v/>
      </c>
    </row>
    <row r="42">
      <c r="A42" s="6" t="inlineStr">
        <is>
          <t>2026-05</t>
        </is>
      </c>
      <c r="B42" s="14" t="n">
        <v>219383</v>
      </c>
      <c r="C42" t="n">
        <v>4</v>
      </c>
      <c r="D42" s="4">
        <f>'IP Triangle'!F42</f>
        <v/>
      </c>
      <c r="E42" s="4">
        <f>'IP Triangle'!E42+(D42-'IP Triangle'!E42)/Assumptions!$B$6</f>
        <v/>
      </c>
      <c r="F42" s="13">
        <f>INDEX('IP Factors'!$E:$E,C42+2)</f>
        <v/>
      </c>
      <c r="G42" s="4">
        <f>E42/F42</f>
        <v/>
      </c>
      <c r="H42" s="15" t="n">
        <v>118.668586</v>
      </c>
      <c r="I42" s="4">
        <f>H42*B42</f>
        <v/>
      </c>
      <c r="J42" s="4">
        <f>E42+(1-F42)*I42</f>
        <v/>
      </c>
      <c r="K42" s="4">
        <f>IF(C42&gt;=Assumptions!$B$3,G42,J42)</f>
        <v/>
      </c>
      <c r="L42" s="4">
        <f>K42-D42</f>
        <v/>
      </c>
      <c r="M42">
        <f>IF(C42&gt;=Assumptions!$B$3,"Completion factor","PMPM / B-F")</f>
        <v/>
      </c>
    </row>
    <row r="43">
      <c r="A43" s="6" t="inlineStr">
        <is>
          <t>2026-06</t>
        </is>
      </c>
      <c r="B43" s="14" t="n">
        <v>219891</v>
      </c>
      <c r="C43" t="n">
        <v>3</v>
      </c>
      <c r="D43" s="4">
        <f>'IP Triangle'!E43</f>
        <v/>
      </c>
      <c r="E43" s="4">
        <f>'IP Triangle'!D43+(D43-'IP Triangle'!D43)/Assumptions!$B$6</f>
        <v/>
      </c>
      <c r="F43" s="13">
        <f>INDEX('IP Factors'!$E:$E,C43+2)</f>
        <v/>
      </c>
      <c r="G43" s="4">
        <f>E43/F43</f>
        <v/>
      </c>
      <c r="H43" s="15" t="n">
        <v>116.548474</v>
      </c>
      <c r="I43" s="4">
        <f>H43*B43</f>
        <v/>
      </c>
      <c r="J43" s="4">
        <f>E43+(1-F43)*I43</f>
        <v/>
      </c>
      <c r="K43" s="4">
        <f>IF(C43&gt;=Assumptions!$B$3,G43,J43)</f>
        <v/>
      </c>
      <c r="L43" s="4">
        <f>K43-D43</f>
        <v/>
      </c>
      <c r="M43">
        <f>IF(C43&gt;=Assumptions!$B$3,"Completion factor","PMPM / B-F")</f>
        <v/>
      </c>
    </row>
    <row r="44">
      <c r="A44" s="6" t="inlineStr">
        <is>
          <t>2026-07</t>
        </is>
      </c>
      <c r="B44" s="14" t="n">
        <v>220771</v>
      </c>
      <c r="C44" t="n">
        <v>2</v>
      </c>
      <c r="D44" s="4">
        <f>'IP Triangle'!D44</f>
        <v/>
      </c>
      <c r="E44" s="4">
        <f>'IP Triangle'!C44+(D44-'IP Triangle'!C44)/Assumptions!$B$6</f>
        <v/>
      </c>
      <c r="F44" s="13">
        <f>INDEX('IP Factors'!$E:$E,C44+2)</f>
        <v/>
      </c>
      <c r="G44" s="4">
        <f>E44/F44</f>
        <v/>
      </c>
      <c r="H44" s="15" t="n">
        <v>113.647869</v>
      </c>
      <c r="I44" s="4">
        <f>H44*B44</f>
        <v/>
      </c>
      <c r="J44" s="4">
        <f>E44+(1-F44)*I44</f>
        <v/>
      </c>
      <c r="K44" s="4">
        <f>IF(C44&gt;=Assumptions!$B$3,G44,J44)</f>
        <v/>
      </c>
      <c r="L44" s="4">
        <f>K44-D44</f>
        <v/>
      </c>
      <c r="M44">
        <f>IF(C44&gt;=Assumptions!$B$3,"Completion factor","PMPM / B-F")</f>
        <v/>
      </c>
    </row>
    <row r="45">
      <c r="A45" s="6" t="inlineStr">
        <is>
          <t>2026-08</t>
        </is>
      </c>
      <c r="B45" s="14" t="n">
        <v>221871</v>
      </c>
      <c r="C45" t="n">
        <v>1</v>
      </c>
      <c r="D45" s="4">
        <f>'IP Triangle'!C45</f>
        <v/>
      </c>
      <c r="E45" s="4">
        <f>'IP Triangle'!B45+(D45-'IP Triangle'!B45)/Assumptions!$B$6</f>
        <v/>
      </c>
      <c r="F45" s="13">
        <f>INDEX('IP Factors'!$E:$E,C45+2)</f>
        <v/>
      </c>
      <c r="G45" s="4">
        <f>E45/F45</f>
        <v/>
      </c>
      <c r="H45" s="15" t="n">
        <v>113.988105</v>
      </c>
      <c r="I45" s="4">
        <f>H45*B45</f>
        <v/>
      </c>
      <c r="J45" s="4">
        <f>E45+(1-F45)*I45</f>
        <v/>
      </c>
      <c r="K45" s="4">
        <f>IF(C45&gt;=Assumptions!$B$3,G45,J45)</f>
        <v/>
      </c>
      <c r="L45" s="4">
        <f>K45-D45</f>
        <v/>
      </c>
      <c r="M45">
        <f>IF(C45&gt;=Assumptions!$B$3,"Completion factor","PMPM / B-F")</f>
        <v/>
      </c>
    </row>
    <row r="46">
      <c r="A46" s="6" t="inlineStr">
        <is>
          <t>2026-09</t>
        </is>
      </c>
      <c r="B46" s="14" t="n">
        <v>222253</v>
      </c>
      <c r="C46" t="n">
        <v>0</v>
      </c>
      <c r="D46" s="4">
        <f>'IP Triangle'!B46</f>
        <v/>
      </c>
      <c r="E46" s="4">
        <f>0+(D46-0)/Assumptions!$B$6</f>
        <v/>
      </c>
      <c r="F46" s="13">
        <f>INDEX('IP Factors'!$E:$E,C46+2)</f>
        <v/>
      </c>
      <c r="G46" s="4">
        <f>E46/F46</f>
        <v/>
      </c>
      <c r="H46" s="15" t="n">
        <v>117.431951</v>
      </c>
      <c r="I46" s="4">
        <f>H46*B46</f>
        <v/>
      </c>
      <c r="J46" s="4">
        <f>E46+(1-F46)*I46</f>
        <v/>
      </c>
      <c r="K46" s="4">
        <f>IF(C46&gt;=Assumptions!$B$3,G46,J46)</f>
        <v/>
      </c>
      <c r="L46" s="4">
        <f>K46-D46</f>
        <v/>
      </c>
      <c r="M46">
        <f>IF(C46&gt;=Assumptions!$B$3,"Completion factor","PMPM / B-F")</f>
        <v/>
      </c>
    </row>
    <row r="47">
      <c r="A47" s="6" t="inlineStr">
        <is>
          <t>Total</t>
        </is>
      </c>
      <c r="B47" s="7">
        <f>SUM(B2:B46)</f>
        <v/>
      </c>
      <c r="D47" s="7">
        <f>SUM(D2:D46)</f>
        <v/>
      </c>
      <c r="G47" s="7">
        <f>SUM(G2:G46)</f>
        <v/>
      </c>
      <c r="I47" s="7">
        <f>SUM(I2:I46)</f>
        <v/>
      </c>
      <c r="K47" s="7">
        <f>SUM(K2:K46)</f>
        <v/>
      </c>
      <c r="L47" s="7">
        <f>SUM(L2:L46)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>
      <c r="A1" s="3" t="inlineStr">
        <is>
          <t>Incurred</t>
        </is>
      </c>
      <c r="B1" s="3" t="inlineStr">
        <is>
          <t>Lag 0</t>
        </is>
      </c>
      <c r="C1" s="3" t="inlineStr">
        <is>
          <t>Lag 1</t>
        </is>
      </c>
      <c r="D1" s="3" t="inlineStr">
        <is>
          <t>Lag 2</t>
        </is>
      </c>
      <c r="E1" s="3" t="inlineStr">
        <is>
          <t>Lag 3</t>
        </is>
      </c>
      <c r="F1" s="3" t="inlineStr">
        <is>
          <t>Lag 4</t>
        </is>
      </c>
      <c r="G1" s="3" t="inlineStr">
        <is>
          <t>Lag 5</t>
        </is>
      </c>
      <c r="H1" s="3" t="inlineStr">
        <is>
          <t>Lag 6</t>
        </is>
      </c>
      <c r="I1" s="3" t="inlineStr">
        <is>
          <t>Lag 7</t>
        </is>
      </c>
      <c r="J1" s="3" t="inlineStr">
        <is>
          <t>Lag 8</t>
        </is>
      </c>
      <c r="K1" s="3" t="inlineStr">
        <is>
          <t>Lag 9</t>
        </is>
      </c>
      <c r="L1" s="3" t="inlineStr">
        <is>
          <t>Lag 10</t>
        </is>
      </c>
      <c r="M1" s="3" t="inlineStr">
        <is>
          <t>Lag 11</t>
        </is>
      </c>
      <c r="N1" s="3" t="inlineStr">
        <is>
          <t>Lag 12</t>
        </is>
      </c>
      <c r="O1" s="3" t="inlineStr">
        <is>
          <t>Lag 13</t>
        </is>
      </c>
      <c r="P1" s="3" t="inlineStr">
        <is>
          <t>Lag 14</t>
        </is>
      </c>
      <c r="Q1" s="3" t="inlineStr">
        <is>
          <t>Lag 15</t>
        </is>
      </c>
      <c r="R1" s="3" t="inlineStr">
        <is>
          <t>Lag 16</t>
        </is>
      </c>
      <c r="S1" s="3" t="inlineStr">
        <is>
          <t>Lag 17</t>
        </is>
      </c>
      <c r="T1" s="3" t="inlineStr">
        <is>
          <t>Lag 18</t>
        </is>
      </c>
      <c r="U1" s="3" t="inlineStr">
        <is>
          <t>Lag 19</t>
        </is>
      </c>
      <c r="V1" s="3" t="inlineStr">
        <is>
          <t>Lag 20</t>
        </is>
      </c>
      <c r="W1" s="3" t="inlineStr">
        <is>
          <t>Lag 21</t>
        </is>
      </c>
      <c r="X1" s="3" t="inlineStr">
        <is>
          <t>Lag 22</t>
        </is>
      </c>
      <c r="Y1" s="3" t="inlineStr">
        <is>
          <t>Lag 23</t>
        </is>
      </c>
      <c r="Z1" s="3" t="inlineStr">
        <is>
          <t>Lag 24</t>
        </is>
      </c>
      <c r="AA1" s="3" t="inlineStr">
        <is>
          <t>Lag 25</t>
        </is>
      </c>
      <c r="AB1" s="3" t="inlineStr">
        <is>
          <t>Lag 26</t>
        </is>
      </c>
      <c r="AC1" s="3" t="inlineStr">
        <is>
          <t>Lag 27</t>
        </is>
      </c>
      <c r="AD1" s="3" t="inlineStr">
        <is>
          <t>Lag 28</t>
        </is>
      </c>
      <c r="AE1" s="3" t="inlineStr">
        <is>
          <t>Lag 29</t>
        </is>
      </c>
      <c r="AF1" s="3" t="inlineStr">
        <is>
          <t>Lag 30</t>
        </is>
      </c>
      <c r="AG1" s="3" t="inlineStr">
        <is>
          <t>Lag 31</t>
        </is>
      </c>
      <c r="AH1" s="3" t="inlineStr">
        <is>
          <t>Lag 32</t>
        </is>
      </c>
      <c r="AI1" s="3" t="inlineStr">
        <is>
          <t>Lag 33</t>
        </is>
      </c>
      <c r="AJ1" s="3" t="inlineStr">
        <is>
          <t>Lag 34</t>
        </is>
      </c>
      <c r="AK1" s="3" t="inlineStr">
        <is>
          <t>Lag 35</t>
        </is>
      </c>
      <c r="AL1" s="3" t="inlineStr">
        <is>
          <t>Lag 36</t>
        </is>
      </c>
      <c r="AM1" s="3" t="inlineStr">
        <is>
          <t>Lag 37</t>
        </is>
      </c>
      <c r="AN1" s="3" t="inlineStr">
        <is>
          <t>Lag 38</t>
        </is>
      </c>
      <c r="AO1" s="3" t="inlineStr">
        <is>
          <t>Lag 39</t>
        </is>
      </c>
      <c r="AP1" s="3" t="inlineStr">
        <is>
          <t>Lag 40</t>
        </is>
      </c>
      <c r="AQ1" s="3" t="inlineStr">
        <is>
          <t>Lag 41</t>
        </is>
      </c>
      <c r="AR1" s="3" t="inlineStr">
        <is>
          <t>Lag 42</t>
        </is>
      </c>
      <c r="AS1" s="3" t="inlineStr">
        <is>
          <t>Lag 43</t>
        </is>
      </c>
      <c r="AT1" s="3" t="inlineStr">
        <is>
          <t>Lag 44</t>
        </is>
      </c>
    </row>
    <row r="2">
      <c r="A2" s="6" t="inlineStr">
        <is>
          <t>2023-01</t>
        </is>
      </c>
      <c r="B2" s="5" t="n">
        <v>4269628.03</v>
      </c>
      <c r="C2" s="5" t="n">
        <v>12532730.94</v>
      </c>
      <c r="D2" s="5" t="n">
        <v>17656829.79</v>
      </c>
      <c r="E2" s="5" t="n">
        <v>20679238.56</v>
      </c>
      <c r="F2" s="5" t="n">
        <v>22318962.99</v>
      </c>
      <c r="G2" s="5" t="n">
        <v>23147144.22</v>
      </c>
      <c r="H2" s="5" t="n">
        <v>23577216.34</v>
      </c>
      <c r="I2" s="5" t="n">
        <v>23792026.02</v>
      </c>
      <c r="J2" s="5" t="n">
        <v>23897897.34</v>
      </c>
      <c r="K2" s="5" t="n">
        <v>23949122.95</v>
      </c>
      <c r="L2" s="5" t="n">
        <v>23975480.61</v>
      </c>
      <c r="M2" s="5" t="n">
        <v>23987006.23</v>
      </c>
      <c r="N2" s="5" t="n">
        <v>23992872.28</v>
      </c>
      <c r="O2" s="5" t="n">
        <v>23995551.05</v>
      </c>
      <c r="P2" s="5" t="n">
        <v>23996866.91</v>
      </c>
      <c r="Q2" s="5" t="n">
        <v>23997526.34</v>
      </c>
      <c r="R2" s="5" t="n">
        <v>23997832.64</v>
      </c>
      <c r="S2" s="5" t="n">
        <v>23997987.76</v>
      </c>
      <c r="T2" s="5" t="n">
        <v>23998058.24</v>
      </c>
      <c r="U2" s="5" t="n">
        <v>23998091.52</v>
      </c>
      <c r="V2" s="5" t="n">
        <v>23998107.21</v>
      </c>
      <c r="W2" s="5" t="n">
        <v>23998114.6</v>
      </c>
      <c r="X2" s="5" t="n">
        <v>23998118.11</v>
      </c>
      <c r="Y2" s="5" t="n">
        <v>23998119.76</v>
      </c>
      <c r="Z2" s="5" t="n">
        <v>23998120.52</v>
      </c>
      <c r="AA2" s="5" t="n">
        <v>23998120.91</v>
      </c>
      <c r="AB2" s="5" t="n">
        <v>23998121.09</v>
      </c>
      <c r="AC2" s="5" t="n">
        <v>23998121.17</v>
      </c>
      <c r="AD2" s="5" t="n">
        <v>23998121.21</v>
      </c>
      <c r="AE2" s="5" t="n">
        <v>23998121.23</v>
      </c>
      <c r="AF2" s="5" t="n">
        <v>23998121.24</v>
      </c>
      <c r="AG2" s="5" t="n">
        <v>23998121.24</v>
      </c>
      <c r="AH2" s="5" t="n">
        <v>23998121.24</v>
      </c>
      <c r="AI2" s="5" t="n">
        <v>23998121.24</v>
      </c>
      <c r="AJ2" s="5" t="n">
        <v>23998121.24</v>
      </c>
      <c r="AK2" s="5" t="n">
        <v>23998121.24</v>
      </c>
      <c r="AL2" s="5" t="n">
        <v>23998121.24</v>
      </c>
      <c r="AM2" s="5" t="n">
        <v>23998121.24</v>
      </c>
      <c r="AN2" s="5" t="n">
        <v>23998121.24</v>
      </c>
      <c r="AO2" s="5" t="n">
        <v>23998121.24</v>
      </c>
      <c r="AP2" s="5" t="n">
        <v>23998121.24</v>
      </c>
      <c r="AQ2" s="5" t="n">
        <v>23998121.24</v>
      </c>
      <c r="AR2" s="5" t="n">
        <v>23998121.24</v>
      </c>
      <c r="AS2" s="5" t="n">
        <v>23998121.24</v>
      </c>
      <c r="AT2" s="5" t="n">
        <v>23998121.24</v>
      </c>
    </row>
    <row r="3">
      <c r="A3" s="6" t="inlineStr">
        <is>
          <t>2023-02</t>
        </is>
      </c>
      <c r="B3" s="5" t="n">
        <v>5181033.22</v>
      </c>
      <c r="C3" s="5" t="n">
        <v>14391944.42</v>
      </c>
      <c r="D3" s="5" t="n">
        <v>20086390.47</v>
      </c>
      <c r="E3" s="5" t="n">
        <v>23590700.35</v>
      </c>
      <c r="F3" s="5" t="n">
        <v>25518263.47</v>
      </c>
      <c r="G3" s="5" t="n">
        <v>26476243.67</v>
      </c>
      <c r="H3" s="5" t="n">
        <v>26956406.8</v>
      </c>
      <c r="I3" s="5" t="n">
        <v>27213908</v>
      </c>
      <c r="J3" s="5" t="n">
        <v>27334125.82</v>
      </c>
      <c r="K3" s="5" t="n">
        <v>27392000.93</v>
      </c>
      <c r="L3" s="5" t="n">
        <v>27421317.59</v>
      </c>
      <c r="M3" s="5" t="n">
        <v>27434888.74</v>
      </c>
      <c r="N3" s="5" t="n">
        <v>27441410.31</v>
      </c>
      <c r="O3" s="5" t="n">
        <v>27444735.54</v>
      </c>
      <c r="P3" s="5" t="n">
        <v>27446203.69</v>
      </c>
      <c r="Q3" s="5" t="n">
        <v>27446915.76</v>
      </c>
      <c r="R3" s="5" t="n">
        <v>27447267.28</v>
      </c>
      <c r="S3" s="5" t="n">
        <v>27447430.83</v>
      </c>
      <c r="T3" s="5" t="n">
        <v>27447502.79</v>
      </c>
      <c r="U3" s="5" t="n">
        <v>27447540.42</v>
      </c>
      <c r="V3" s="5" t="n">
        <v>27447558.11</v>
      </c>
      <c r="W3" s="5" t="n">
        <v>27447566.06</v>
      </c>
      <c r="X3" s="5" t="n">
        <v>27447569.89</v>
      </c>
      <c r="Y3" s="5" t="n">
        <v>27447571.66</v>
      </c>
      <c r="Z3" s="5" t="n">
        <v>27447572.54</v>
      </c>
      <c r="AA3" s="5" t="n">
        <v>27447572.95</v>
      </c>
      <c r="AB3" s="5" t="n">
        <v>27447573.14</v>
      </c>
      <c r="AC3" s="5" t="n">
        <v>27447573.23</v>
      </c>
      <c r="AD3" s="5" t="n">
        <v>27447573.27</v>
      </c>
      <c r="AE3" s="5" t="n">
        <v>27447573.29</v>
      </c>
      <c r="AF3" s="5" t="n">
        <v>27447573.3</v>
      </c>
      <c r="AG3" s="5" t="n">
        <v>27447573.3</v>
      </c>
      <c r="AH3" s="5" t="n">
        <v>27447573.3</v>
      </c>
      <c r="AI3" s="5" t="n">
        <v>27447573.3</v>
      </c>
      <c r="AJ3" s="5" t="n">
        <v>27447573.3</v>
      </c>
      <c r="AK3" s="5" t="n">
        <v>27447573.3</v>
      </c>
      <c r="AL3" s="5" t="n">
        <v>27447573.3</v>
      </c>
      <c r="AM3" s="5" t="n">
        <v>27447573.3</v>
      </c>
      <c r="AN3" s="5" t="n">
        <v>27447573.3</v>
      </c>
      <c r="AO3" s="5" t="n">
        <v>27447573.3</v>
      </c>
      <c r="AP3" s="5" t="n">
        <v>27447573.3</v>
      </c>
      <c r="AQ3" s="5" t="n">
        <v>27447573.3</v>
      </c>
      <c r="AR3" s="5" t="n">
        <v>27447573.3</v>
      </c>
      <c r="AS3" s="5" t="n">
        <v>27447573.3</v>
      </c>
    </row>
    <row r="4">
      <c r="A4" s="6" t="inlineStr">
        <is>
          <t>2023-03</t>
        </is>
      </c>
      <c r="B4" s="5" t="n">
        <v>4879407.88</v>
      </c>
      <c r="C4" s="5" t="n">
        <v>13974292.4</v>
      </c>
      <c r="D4" s="5" t="n">
        <v>19542998.5</v>
      </c>
      <c r="E4" s="5" t="n">
        <v>22852749.5</v>
      </c>
      <c r="F4" s="5" t="n">
        <v>24664465.21</v>
      </c>
      <c r="G4" s="5" t="n">
        <v>25569880.5</v>
      </c>
      <c r="H4" s="5" t="n">
        <v>26017951.2</v>
      </c>
      <c r="I4" s="5" t="n">
        <v>26233454.82</v>
      </c>
      <c r="J4" s="5" t="n">
        <v>26344846.85</v>
      </c>
      <c r="K4" s="5" t="n">
        <v>26399713.6</v>
      </c>
      <c r="L4" s="5" t="n">
        <v>26426456.21</v>
      </c>
      <c r="M4" s="5" t="n">
        <v>26439169.52</v>
      </c>
      <c r="N4" s="5" t="n">
        <v>26445362.08</v>
      </c>
      <c r="O4" s="5" t="n">
        <v>26448162.77</v>
      </c>
      <c r="P4" s="5" t="n">
        <v>26449537.5</v>
      </c>
      <c r="Q4" s="5" t="n">
        <v>26450193.9</v>
      </c>
      <c r="R4" s="5" t="n">
        <v>26450507.91</v>
      </c>
      <c r="S4" s="5" t="n">
        <v>26450650.65</v>
      </c>
      <c r="T4" s="5" t="n">
        <v>26450725.2</v>
      </c>
      <c r="U4" s="5" t="n">
        <v>26450759.74</v>
      </c>
      <c r="V4" s="5" t="n">
        <v>26450775.04</v>
      </c>
      <c r="W4" s="5" t="n">
        <v>26450782.5</v>
      </c>
      <c r="X4" s="5" t="n">
        <v>26450785.88</v>
      </c>
      <c r="Y4" s="5" t="n">
        <v>26450787.56</v>
      </c>
      <c r="Z4" s="5" t="n">
        <v>26450788.34</v>
      </c>
      <c r="AA4" s="5" t="n">
        <v>26450788.71</v>
      </c>
      <c r="AB4" s="5" t="n">
        <v>26450788.88</v>
      </c>
      <c r="AC4" s="5" t="n">
        <v>26450788.96</v>
      </c>
      <c r="AD4" s="5" t="n">
        <v>26450789</v>
      </c>
      <c r="AE4" s="5" t="n">
        <v>26450789.02</v>
      </c>
      <c r="AF4" s="5" t="n">
        <v>26450789.03</v>
      </c>
      <c r="AG4" s="5" t="n">
        <v>26450789.03</v>
      </c>
      <c r="AH4" s="5" t="n">
        <v>26450789.03</v>
      </c>
      <c r="AI4" s="5" t="n">
        <v>26450789.03</v>
      </c>
      <c r="AJ4" s="5" t="n">
        <v>26450789.03</v>
      </c>
      <c r="AK4" s="5" t="n">
        <v>26450789.03</v>
      </c>
      <c r="AL4" s="5" t="n">
        <v>26450789.03</v>
      </c>
      <c r="AM4" s="5" t="n">
        <v>26450789.03</v>
      </c>
      <c r="AN4" s="5" t="n">
        <v>26450789.03</v>
      </c>
      <c r="AO4" s="5" t="n">
        <v>26450789.03</v>
      </c>
      <c r="AP4" s="5" t="n">
        <v>26450789.03</v>
      </c>
      <c r="AQ4" s="5" t="n">
        <v>26450789.03</v>
      </c>
      <c r="AR4" s="5" t="n">
        <v>26450789.03</v>
      </c>
    </row>
    <row r="5">
      <c r="A5" s="6" t="inlineStr">
        <is>
          <t>2023-04</t>
        </is>
      </c>
      <c r="B5" s="5" t="n">
        <v>4556068.45</v>
      </c>
      <c r="C5" s="5" t="n">
        <v>13173353.69</v>
      </c>
      <c r="D5" s="5" t="n">
        <v>18669941.17</v>
      </c>
      <c r="E5" s="5" t="n">
        <v>21721971.52</v>
      </c>
      <c r="F5" s="5" t="n">
        <v>23391170.27</v>
      </c>
      <c r="G5" s="5" t="n">
        <v>24225415.48</v>
      </c>
      <c r="H5" s="5" t="n">
        <v>24682703.76</v>
      </c>
      <c r="I5" s="5" t="n">
        <v>24884163.34</v>
      </c>
      <c r="J5" s="5" t="n">
        <v>24986736.89</v>
      </c>
      <c r="K5" s="5" t="n">
        <v>25037160.5</v>
      </c>
      <c r="L5" s="5" t="n">
        <v>25060814.77</v>
      </c>
      <c r="M5" s="5" t="n">
        <v>25072993.98</v>
      </c>
      <c r="N5" s="5" t="n">
        <v>25079028.77</v>
      </c>
      <c r="O5" s="5" t="n">
        <v>25081663.43</v>
      </c>
      <c r="P5" s="5" t="n">
        <v>25082972.67</v>
      </c>
      <c r="Q5" s="5" t="n">
        <v>25083582.08</v>
      </c>
      <c r="R5" s="5" t="n">
        <v>25083876.85</v>
      </c>
      <c r="S5" s="5" t="n">
        <v>25084012.63</v>
      </c>
      <c r="T5" s="5" t="n">
        <v>25084075.2</v>
      </c>
      <c r="U5" s="5" t="n">
        <v>25084105.26</v>
      </c>
      <c r="V5" s="5" t="n">
        <v>25084119.47</v>
      </c>
      <c r="W5" s="5" t="n">
        <v>25084126.25</v>
      </c>
      <c r="X5" s="5" t="n">
        <v>25084129.48</v>
      </c>
      <c r="Y5" s="5" t="n">
        <v>25084131</v>
      </c>
      <c r="Z5" s="5" t="n">
        <v>25084131.71</v>
      </c>
      <c r="AA5" s="5" t="n">
        <v>25084132.05</v>
      </c>
      <c r="AB5" s="5" t="n">
        <v>25084132.2</v>
      </c>
      <c r="AC5" s="5" t="n">
        <v>25084132.27</v>
      </c>
      <c r="AD5" s="5" t="n">
        <v>25084132.3</v>
      </c>
      <c r="AE5" s="5" t="n">
        <v>25084132.32</v>
      </c>
      <c r="AF5" s="5" t="n">
        <v>25084132.33</v>
      </c>
      <c r="AG5" s="5" t="n">
        <v>25084132.33</v>
      </c>
      <c r="AH5" s="5" t="n">
        <v>25084132.33</v>
      </c>
      <c r="AI5" s="5" t="n">
        <v>25084132.33</v>
      </c>
      <c r="AJ5" s="5" t="n">
        <v>25084132.33</v>
      </c>
      <c r="AK5" s="5" t="n">
        <v>25084132.33</v>
      </c>
      <c r="AL5" s="5" t="n">
        <v>25084132.33</v>
      </c>
      <c r="AM5" s="5" t="n">
        <v>25084132.33</v>
      </c>
      <c r="AN5" s="5" t="n">
        <v>25084132.33</v>
      </c>
      <c r="AO5" s="5" t="n">
        <v>25084132.33</v>
      </c>
      <c r="AP5" s="5" t="n">
        <v>25084132.33</v>
      </c>
      <c r="AQ5" s="5" t="n">
        <v>25084132.33</v>
      </c>
    </row>
    <row r="6">
      <c r="A6" s="6" t="inlineStr">
        <is>
          <t>2023-05</t>
        </is>
      </c>
      <c r="B6" s="5" t="n">
        <v>4839556.91</v>
      </c>
      <c r="C6" s="5" t="n">
        <v>14904134.52</v>
      </c>
      <c r="D6" s="5" t="n">
        <v>21173583.04</v>
      </c>
      <c r="E6" s="5" t="n">
        <v>24601736.4</v>
      </c>
      <c r="F6" s="5" t="n">
        <v>26448941.25</v>
      </c>
      <c r="G6" s="5" t="n">
        <v>27341995.86</v>
      </c>
      <c r="H6" s="5" t="n">
        <v>27831349.23</v>
      </c>
      <c r="I6" s="5" t="n">
        <v>28076694.61</v>
      </c>
      <c r="J6" s="5" t="n">
        <v>28191572.29</v>
      </c>
      <c r="K6" s="5" t="n">
        <v>28247585.57</v>
      </c>
      <c r="L6" s="5" t="n">
        <v>28274216.97</v>
      </c>
      <c r="M6" s="5" t="n">
        <v>28286756.25</v>
      </c>
      <c r="N6" s="5" t="n">
        <v>28292579.6</v>
      </c>
      <c r="O6" s="5" t="n">
        <v>28295621.09</v>
      </c>
      <c r="P6" s="5" t="n">
        <v>28296999.76</v>
      </c>
      <c r="Q6" s="5" t="n">
        <v>28297666.66</v>
      </c>
      <c r="R6" s="5" t="n">
        <v>28297977.75</v>
      </c>
      <c r="S6" s="5" t="n">
        <v>28298121.79</v>
      </c>
      <c r="T6" s="5" t="n">
        <v>28298189.74</v>
      </c>
      <c r="U6" s="5" t="n">
        <v>28298220.98</v>
      </c>
      <c r="V6" s="5" t="n">
        <v>28298236.41</v>
      </c>
      <c r="W6" s="5" t="n">
        <v>28298243.48</v>
      </c>
      <c r="X6" s="5" t="n">
        <v>28298246.69</v>
      </c>
      <c r="Y6" s="5" t="n">
        <v>28298248.15</v>
      </c>
      <c r="Z6" s="5" t="n">
        <v>28298248.9</v>
      </c>
      <c r="AA6" s="5" t="n">
        <v>28298249.26</v>
      </c>
      <c r="AB6" s="5" t="n">
        <v>28298249.42</v>
      </c>
      <c r="AC6" s="5" t="n">
        <v>28298249.49</v>
      </c>
      <c r="AD6" s="5" t="n">
        <v>28298249.53</v>
      </c>
      <c r="AE6" s="5" t="n">
        <v>28298249.55</v>
      </c>
      <c r="AF6" s="5" t="n">
        <v>28298249.56</v>
      </c>
      <c r="AG6" s="5" t="n">
        <v>28298249.56</v>
      </c>
      <c r="AH6" s="5" t="n">
        <v>28298249.56</v>
      </c>
      <c r="AI6" s="5" t="n">
        <v>28298249.56</v>
      </c>
      <c r="AJ6" s="5" t="n">
        <v>28298249.56</v>
      </c>
      <c r="AK6" s="5" t="n">
        <v>28298249.56</v>
      </c>
      <c r="AL6" s="5" t="n">
        <v>28298249.56</v>
      </c>
      <c r="AM6" s="5" t="n">
        <v>28298249.56</v>
      </c>
      <c r="AN6" s="5" t="n">
        <v>28298249.56</v>
      </c>
      <c r="AO6" s="5" t="n">
        <v>28298249.56</v>
      </c>
      <c r="AP6" s="5" t="n">
        <v>28298249.56</v>
      </c>
    </row>
    <row r="7">
      <c r="A7" s="6" t="inlineStr">
        <is>
          <t>2023-06</t>
        </is>
      </c>
      <c r="B7" s="5" t="n">
        <v>5127380.19</v>
      </c>
      <c r="C7" s="5" t="n">
        <v>14170588.61</v>
      </c>
      <c r="D7" s="5" t="n">
        <v>20042082.63</v>
      </c>
      <c r="E7" s="5" t="n">
        <v>23476729.55</v>
      </c>
      <c r="F7" s="5" t="n">
        <v>25402170.76</v>
      </c>
      <c r="G7" s="5" t="n">
        <v>26311679.87</v>
      </c>
      <c r="H7" s="5" t="n">
        <v>26776522.96</v>
      </c>
      <c r="I7" s="5" t="n">
        <v>26998168.09</v>
      </c>
      <c r="J7" s="5" t="n">
        <v>27110607.47</v>
      </c>
      <c r="K7" s="5" t="n">
        <v>27165892.21</v>
      </c>
      <c r="L7" s="5" t="n">
        <v>27192761.61</v>
      </c>
      <c r="M7" s="5" t="n">
        <v>27205051.98</v>
      </c>
      <c r="N7" s="5" t="n">
        <v>27210979.77</v>
      </c>
      <c r="O7" s="5" t="n">
        <v>27213883.91</v>
      </c>
      <c r="P7" s="5" t="n">
        <v>27215270.64</v>
      </c>
      <c r="Q7" s="5" t="n">
        <v>27215906.41</v>
      </c>
      <c r="R7" s="5" t="n">
        <v>27216192.79</v>
      </c>
      <c r="S7" s="5" t="n">
        <v>27216329.92</v>
      </c>
      <c r="T7" s="5" t="n">
        <v>27216395.27</v>
      </c>
      <c r="U7" s="5" t="n">
        <v>27216427.12</v>
      </c>
      <c r="V7" s="5" t="n">
        <v>27216441.79</v>
      </c>
      <c r="W7" s="5" t="n">
        <v>27216448.74</v>
      </c>
      <c r="X7" s="5" t="n">
        <v>27216452.04</v>
      </c>
      <c r="Y7" s="5" t="n">
        <v>27216453.52</v>
      </c>
      <c r="Z7" s="5" t="n">
        <v>27216454.22</v>
      </c>
      <c r="AA7" s="5" t="n">
        <v>27216454.56</v>
      </c>
      <c r="AB7" s="5" t="n">
        <v>27216454.71</v>
      </c>
      <c r="AC7" s="5" t="n">
        <v>27216454.78</v>
      </c>
      <c r="AD7" s="5" t="n">
        <v>27216454.82</v>
      </c>
      <c r="AE7" s="5" t="n">
        <v>27216454.83</v>
      </c>
      <c r="AF7" s="5" t="n">
        <v>27216454.84</v>
      </c>
      <c r="AG7" s="5" t="n">
        <v>27216454.84</v>
      </c>
      <c r="AH7" s="5" t="n">
        <v>27216454.84</v>
      </c>
      <c r="AI7" s="5" t="n">
        <v>27216454.84</v>
      </c>
      <c r="AJ7" s="5" t="n">
        <v>27216454.84</v>
      </c>
      <c r="AK7" s="5" t="n">
        <v>27216454.84</v>
      </c>
      <c r="AL7" s="5" t="n">
        <v>27216454.84</v>
      </c>
      <c r="AM7" s="5" t="n">
        <v>27216454.84</v>
      </c>
      <c r="AN7" s="5" t="n">
        <v>27216454.84</v>
      </c>
      <c r="AO7" s="5" t="n">
        <v>27216454.84</v>
      </c>
    </row>
    <row r="8">
      <c r="A8" s="6" t="inlineStr">
        <is>
          <t>2023-07</t>
        </is>
      </c>
      <c r="B8" s="5" t="n">
        <v>5416237.57</v>
      </c>
      <c r="C8" s="5" t="n">
        <v>15454306.04</v>
      </c>
      <c r="D8" s="5" t="n">
        <v>22063451.14</v>
      </c>
      <c r="E8" s="5" t="n">
        <v>25650418.62</v>
      </c>
      <c r="F8" s="5" t="n">
        <v>27425818.43</v>
      </c>
      <c r="G8" s="5" t="n">
        <v>28347852.26</v>
      </c>
      <c r="H8" s="5" t="n">
        <v>28846216.96</v>
      </c>
      <c r="I8" s="5" t="n">
        <v>29081453.63</v>
      </c>
      <c r="J8" s="5" t="n">
        <v>29195129.64</v>
      </c>
      <c r="K8" s="5" t="n">
        <v>29248930.57</v>
      </c>
      <c r="L8" s="5" t="n">
        <v>29275716.75</v>
      </c>
      <c r="M8" s="5" t="n">
        <v>29288464.5</v>
      </c>
      <c r="N8" s="5" t="n">
        <v>29294712.54</v>
      </c>
      <c r="O8" s="5" t="n">
        <v>29297542.42</v>
      </c>
      <c r="P8" s="5" t="n">
        <v>29298869.46</v>
      </c>
      <c r="Q8" s="5" t="n">
        <v>29299504.79</v>
      </c>
      <c r="R8" s="5" t="n">
        <v>29299807.12</v>
      </c>
      <c r="S8" s="5" t="n">
        <v>29299941.73</v>
      </c>
      <c r="T8" s="5" t="n">
        <v>29300009.75</v>
      </c>
      <c r="U8" s="5" t="n">
        <v>29300041.1</v>
      </c>
      <c r="V8" s="5" t="n">
        <v>29300055.27</v>
      </c>
      <c r="W8" s="5" t="n">
        <v>29300061.94</v>
      </c>
      <c r="X8" s="5" t="n">
        <v>29300065.27</v>
      </c>
      <c r="Y8" s="5" t="n">
        <v>29300066.81</v>
      </c>
      <c r="Z8" s="5" t="n">
        <v>29300067.53</v>
      </c>
      <c r="AA8" s="5" t="n">
        <v>29300067.84</v>
      </c>
      <c r="AB8" s="5" t="n">
        <v>29300067.99</v>
      </c>
      <c r="AC8" s="5" t="n">
        <v>29300068.06</v>
      </c>
      <c r="AD8" s="5" t="n">
        <v>29300068.09</v>
      </c>
      <c r="AE8" s="5" t="n">
        <v>29300068.11</v>
      </c>
      <c r="AF8" s="5" t="n">
        <v>29300068.12</v>
      </c>
      <c r="AG8" s="5" t="n">
        <v>29300068.12</v>
      </c>
      <c r="AH8" s="5" t="n">
        <v>29300068.12</v>
      </c>
      <c r="AI8" s="5" t="n">
        <v>29300068.12</v>
      </c>
      <c r="AJ8" s="5" t="n">
        <v>29300068.12</v>
      </c>
      <c r="AK8" s="5" t="n">
        <v>29300068.12</v>
      </c>
      <c r="AL8" s="5" t="n">
        <v>29300068.12</v>
      </c>
      <c r="AM8" s="5" t="n">
        <v>29300068.12</v>
      </c>
      <c r="AN8" s="5" t="n">
        <v>29300068.12</v>
      </c>
    </row>
    <row r="9">
      <c r="A9" s="6" t="inlineStr">
        <is>
          <t>2023-08</t>
        </is>
      </c>
      <c r="B9" s="5" t="n">
        <v>5712537.16</v>
      </c>
      <c r="C9" s="5" t="n">
        <v>15980836.29</v>
      </c>
      <c r="D9" s="5" t="n">
        <v>22788612.03</v>
      </c>
      <c r="E9" s="5" t="n">
        <v>26412636.55</v>
      </c>
      <c r="F9" s="5" t="n">
        <v>28356000.36</v>
      </c>
      <c r="G9" s="5" t="n">
        <v>29313469.42</v>
      </c>
      <c r="H9" s="5" t="n">
        <v>29804865.03</v>
      </c>
      <c r="I9" s="5" t="n">
        <v>30036748.44</v>
      </c>
      <c r="J9" s="5" t="n">
        <v>30151976.15</v>
      </c>
      <c r="K9" s="5" t="n">
        <v>30210341.12</v>
      </c>
      <c r="L9" s="5" t="n">
        <v>30237453.99</v>
      </c>
      <c r="M9" s="5" t="n">
        <v>30250327.36</v>
      </c>
      <c r="N9" s="5" t="n">
        <v>30256733.54</v>
      </c>
      <c r="O9" s="5" t="n">
        <v>30259861.06</v>
      </c>
      <c r="P9" s="5" t="n">
        <v>30261250.35</v>
      </c>
      <c r="Q9" s="5" t="n">
        <v>30261913.82</v>
      </c>
      <c r="R9" s="5" t="n">
        <v>30262217.19</v>
      </c>
      <c r="S9" s="5" t="n">
        <v>30262361.66</v>
      </c>
      <c r="T9" s="5" t="n">
        <v>30262429.8</v>
      </c>
      <c r="U9" s="5" t="n">
        <v>30262461.14</v>
      </c>
      <c r="V9" s="5" t="n">
        <v>30262475.79</v>
      </c>
      <c r="W9" s="5" t="n">
        <v>30262482.47</v>
      </c>
      <c r="X9" s="5" t="n">
        <v>30262485.71</v>
      </c>
      <c r="Y9" s="5" t="n">
        <v>30262487.21</v>
      </c>
      <c r="Z9" s="5" t="n">
        <v>30262487.89</v>
      </c>
      <c r="AA9" s="5" t="n">
        <v>30262488.2</v>
      </c>
      <c r="AB9" s="5" t="n">
        <v>30262488.35</v>
      </c>
      <c r="AC9" s="5" t="n">
        <v>30262488.42</v>
      </c>
      <c r="AD9" s="5" t="n">
        <v>30262488.45</v>
      </c>
      <c r="AE9" s="5" t="n">
        <v>30262488.46</v>
      </c>
      <c r="AF9" s="5" t="n">
        <v>30262488.47</v>
      </c>
      <c r="AG9" s="5" t="n">
        <v>30262488.47</v>
      </c>
      <c r="AH9" s="5" t="n">
        <v>30262488.47</v>
      </c>
      <c r="AI9" s="5" t="n">
        <v>30262488.47</v>
      </c>
      <c r="AJ9" s="5" t="n">
        <v>30262488.47</v>
      </c>
      <c r="AK9" s="5" t="n">
        <v>30262488.47</v>
      </c>
      <c r="AL9" s="5" t="n">
        <v>30262488.47</v>
      </c>
      <c r="AM9" s="5" t="n">
        <v>30262488.47</v>
      </c>
    </row>
    <row r="10">
      <c r="A10" s="6" t="inlineStr">
        <is>
          <t>2023-09</t>
        </is>
      </c>
      <c r="B10" s="5" t="n">
        <v>5548984.98</v>
      </c>
      <c r="C10" s="5" t="n">
        <v>15788300.18</v>
      </c>
      <c r="D10" s="5" t="n">
        <v>22443704.37</v>
      </c>
      <c r="E10" s="5" t="n">
        <v>26112451.01</v>
      </c>
      <c r="F10" s="5" t="n">
        <v>28058555.26</v>
      </c>
      <c r="G10" s="5" t="n">
        <v>29004906.25</v>
      </c>
      <c r="H10" s="5" t="n">
        <v>29473749.82</v>
      </c>
      <c r="I10" s="5" t="n">
        <v>29701173.68</v>
      </c>
      <c r="J10" s="5" t="n">
        <v>29816771.9</v>
      </c>
      <c r="K10" s="5" t="n">
        <v>29870145.44</v>
      </c>
      <c r="L10" s="5" t="n">
        <v>29897468.53</v>
      </c>
      <c r="M10" s="5" t="n">
        <v>29910564.19</v>
      </c>
      <c r="N10" s="5" t="n">
        <v>29916881.66</v>
      </c>
      <c r="O10" s="5" t="n">
        <v>29919636.44</v>
      </c>
      <c r="P10" s="5" t="n">
        <v>29920977.14</v>
      </c>
      <c r="Q10" s="5" t="n">
        <v>29921620.66</v>
      </c>
      <c r="R10" s="5" t="n">
        <v>29921912.87</v>
      </c>
      <c r="S10" s="5" t="n">
        <v>29922045.18</v>
      </c>
      <c r="T10" s="5" t="n">
        <v>29922113.27</v>
      </c>
      <c r="U10" s="5" t="n">
        <v>29922143.39</v>
      </c>
      <c r="V10" s="5" t="n">
        <v>29922157.96</v>
      </c>
      <c r="W10" s="5" t="n">
        <v>29922164.44</v>
      </c>
      <c r="X10" s="5" t="n">
        <v>29922167.43</v>
      </c>
      <c r="Y10" s="5" t="n">
        <v>29922168.85</v>
      </c>
      <c r="Z10" s="5" t="n">
        <v>29922169.53</v>
      </c>
      <c r="AA10" s="5" t="n">
        <v>29922169.83</v>
      </c>
      <c r="AB10" s="5" t="n">
        <v>29922169.98</v>
      </c>
      <c r="AC10" s="5" t="n">
        <v>29922170.05</v>
      </c>
      <c r="AD10" s="5" t="n">
        <v>29922170.08</v>
      </c>
      <c r="AE10" s="5" t="n">
        <v>29922170.09</v>
      </c>
      <c r="AF10" s="5" t="n">
        <v>29922170.1</v>
      </c>
      <c r="AG10" s="5" t="n">
        <v>29922170.1</v>
      </c>
      <c r="AH10" s="5" t="n">
        <v>29922170.1</v>
      </c>
      <c r="AI10" s="5" t="n">
        <v>29922170.1</v>
      </c>
      <c r="AJ10" s="5" t="n">
        <v>29922170.1</v>
      </c>
      <c r="AK10" s="5" t="n">
        <v>29922170.1</v>
      </c>
      <c r="AL10" s="5" t="n">
        <v>29922170.1</v>
      </c>
    </row>
    <row r="11">
      <c r="A11" s="6" t="inlineStr">
        <is>
          <t>2023-10</t>
        </is>
      </c>
      <c r="B11" s="5" t="n">
        <v>5786666.62</v>
      </c>
      <c r="C11" s="5" t="n">
        <v>16473580.42</v>
      </c>
      <c r="D11" s="5" t="n">
        <v>22742720.05</v>
      </c>
      <c r="E11" s="5" t="n">
        <v>26650236.98</v>
      </c>
      <c r="F11" s="5" t="n">
        <v>28658099.29</v>
      </c>
      <c r="G11" s="5" t="n">
        <v>29668580.94</v>
      </c>
      <c r="H11" s="5" t="n">
        <v>30139579</v>
      </c>
      <c r="I11" s="5" t="n">
        <v>30384933.08</v>
      </c>
      <c r="J11" s="5" t="n">
        <v>30503652.19</v>
      </c>
      <c r="K11" s="5" t="n">
        <v>30561040.63</v>
      </c>
      <c r="L11" s="5" t="n">
        <v>30589173.31</v>
      </c>
      <c r="M11" s="5" t="n">
        <v>30602040.71</v>
      </c>
      <c r="N11" s="5" t="n">
        <v>30608373</v>
      </c>
      <c r="O11" s="5" t="n">
        <v>30611129.49</v>
      </c>
      <c r="P11" s="5" t="n">
        <v>30612472.24</v>
      </c>
      <c r="Q11" s="5" t="n">
        <v>30613099.94</v>
      </c>
      <c r="R11" s="5" t="n">
        <v>30613410.58</v>
      </c>
      <c r="S11" s="5" t="n">
        <v>30613543.56</v>
      </c>
      <c r="T11" s="5" t="n">
        <v>30613606.74</v>
      </c>
      <c r="U11" s="5" t="n">
        <v>30613635.88</v>
      </c>
      <c r="V11" s="5" t="n">
        <v>30613649.44</v>
      </c>
      <c r="W11" s="5" t="n">
        <v>30613655.63</v>
      </c>
      <c r="X11" s="5" t="n">
        <v>30613658.51</v>
      </c>
      <c r="Y11" s="5" t="n">
        <v>30613659.93</v>
      </c>
      <c r="Z11" s="5" t="n">
        <v>30613660.6</v>
      </c>
      <c r="AA11" s="5" t="n">
        <v>30613660.91</v>
      </c>
      <c r="AB11" s="5" t="n">
        <v>30613661.05</v>
      </c>
      <c r="AC11" s="5" t="n">
        <v>30613661.12</v>
      </c>
      <c r="AD11" s="5" t="n">
        <v>30613661.15</v>
      </c>
      <c r="AE11" s="5" t="n">
        <v>30613661.16</v>
      </c>
      <c r="AF11" s="5" t="n">
        <v>30613661.17</v>
      </c>
      <c r="AG11" s="5" t="n">
        <v>30613661.17</v>
      </c>
      <c r="AH11" s="5" t="n">
        <v>30613661.17</v>
      </c>
      <c r="AI11" s="5" t="n">
        <v>30613661.17</v>
      </c>
      <c r="AJ11" s="5" t="n">
        <v>30613661.17</v>
      </c>
      <c r="AK11" s="5" t="n">
        <v>30613661.17</v>
      </c>
    </row>
    <row r="12">
      <c r="A12" s="6" t="inlineStr">
        <is>
          <t>2023-11</t>
        </is>
      </c>
      <c r="B12" s="5" t="n">
        <v>5837848.13</v>
      </c>
      <c r="C12" s="5" t="n">
        <v>16698595.26</v>
      </c>
      <c r="D12" s="5" t="n">
        <v>23182391.8</v>
      </c>
      <c r="E12" s="5" t="n">
        <v>26651252.3</v>
      </c>
      <c r="F12" s="5" t="n">
        <v>28721516.5</v>
      </c>
      <c r="G12" s="5" t="n">
        <v>29648732.44</v>
      </c>
      <c r="H12" s="5" t="n">
        <v>30117713.46</v>
      </c>
      <c r="I12" s="5" t="n">
        <v>30358869.92</v>
      </c>
      <c r="J12" s="5" t="n">
        <v>30467096.44</v>
      </c>
      <c r="K12" s="5" t="n">
        <v>30522511.63</v>
      </c>
      <c r="L12" s="5" t="n">
        <v>30547694.29</v>
      </c>
      <c r="M12" s="5" t="n">
        <v>30560198.41</v>
      </c>
      <c r="N12" s="5" t="n">
        <v>30565737.13</v>
      </c>
      <c r="O12" s="5" t="n">
        <v>30568376.93</v>
      </c>
      <c r="P12" s="5" t="n">
        <v>30569675.18</v>
      </c>
      <c r="Q12" s="5" t="n">
        <v>30570294.34</v>
      </c>
      <c r="R12" s="5" t="n">
        <v>30570571.3</v>
      </c>
      <c r="S12" s="5" t="n">
        <v>30570697.86</v>
      </c>
      <c r="T12" s="5" t="n">
        <v>30570760.68</v>
      </c>
      <c r="U12" s="5" t="n">
        <v>30570788.87</v>
      </c>
      <c r="V12" s="5" t="n">
        <v>30570801.39</v>
      </c>
      <c r="W12" s="5" t="n">
        <v>30570807.5</v>
      </c>
      <c r="X12" s="5" t="n">
        <v>30570810.38</v>
      </c>
      <c r="Y12" s="5" t="n">
        <v>30570811.65</v>
      </c>
      <c r="Z12" s="5" t="n">
        <v>30570812.25</v>
      </c>
      <c r="AA12" s="5" t="n">
        <v>30570812.54</v>
      </c>
      <c r="AB12" s="5" t="n">
        <v>30570812.67</v>
      </c>
      <c r="AC12" s="5" t="n">
        <v>30570812.73</v>
      </c>
      <c r="AD12" s="5" t="n">
        <v>30570812.76</v>
      </c>
      <c r="AE12" s="5" t="n">
        <v>30570812.77</v>
      </c>
      <c r="AF12" s="5" t="n">
        <v>30570812.78</v>
      </c>
      <c r="AG12" s="5" t="n">
        <v>30570812.78</v>
      </c>
      <c r="AH12" s="5" t="n">
        <v>30570812.78</v>
      </c>
      <c r="AI12" s="5" t="n">
        <v>30570812.78</v>
      </c>
      <c r="AJ12" s="5" t="n">
        <v>30570812.78</v>
      </c>
    </row>
    <row r="13">
      <c r="A13" s="6" t="inlineStr">
        <is>
          <t>2023-12</t>
        </is>
      </c>
      <c r="B13" s="5" t="n">
        <v>6217411.02</v>
      </c>
      <c r="C13" s="5" t="n">
        <v>18219933.96</v>
      </c>
      <c r="D13" s="5" t="n">
        <v>25519737.06</v>
      </c>
      <c r="E13" s="5" t="n">
        <v>29632942.87</v>
      </c>
      <c r="F13" s="5" t="n">
        <v>31794476.47</v>
      </c>
      <c r="G13" s="5" t="n">
        <v>32886573.91</v>
      </c>
      <c r="H13" s="5" t="n">
        <v>33407017.23</v>
      </c>
      <c r="I13" s="5" t="n">
        <v>33666945.17</v>
      </c>
      <c r="J13" s="5" t="n">
        <v>33793372.73</v>
      </c>
      <c r="K13" s="5" t="n">
        <v>33853247.73</v>
      </c>
      <c r="L13" s="5" t="n">
        <v>33882396.85</v>
      </c>
      <c r="M13" s="5" t="n">
        <v>33895560.55</v>
      </c>
      <c r="N13" s="5" t="n">
        <v>33901895.52</v>
      </c>
      <c r="O13" s="5" t="n">
        <v>33904842.74</v>
      </c>
      <c r="P13" s="5" t="n">
        <v>33906269.5</v>
      </c>
      <c r="Q13" s="5" t="n">
        <v>33906896.97</v>
      </c>
      <c r="R13" s="5" t="n">
        <v>33907202.91</v>
      </c>
      <c r="S13" s="5" t="n">
        <v>33907338.58</v>
      </c>
      <c r="T13" s="5" t="n">
        <v>33907404.5</v>
      </c>
      <c r="U13" s="5" t="n">
        <v>33907434.91</v>
      </c>
      <c r="V13" s="5" t="n">
        <v>33907449.57</v>
      </c>
      <c r="W13" s="5" t="n">
        <v>33907455.87</v>
      </c>
      <c r="X13" s="5" t="n">
        <v>33907458.74</v>
      </c>
      <c r="Y13" s="5" t="n">
        <v>33907460.24</v>
      </c>
      <c r="Z13" s="5" t="n">
        <v>33907460.89</v>
      </c>
      <c r="AA13" s="5" t="n">
        <v>33907461.17</v>
      </c>
      <c r="AB13" s="5" t="n">
        <v>33907461.31</v>
      </c>
      <c r="AC13" s="5" t="n">
        <v>33907461.37</v>
      </c>
      <c r="AD13" s="5" t="n">
        <v>33907461.4</v>
      </c>
      <c r="AE13" s="5" t="n">
        <v>33907461.41</v>
      </c>
      <c r="AF13" s="5" t="n">
        <v>33907461.42</v>
      </c>
      <c r="AG13" s="5" t="n">
        <v>33907461.42</v>
      </c>
      <c r="AH13" s="5" t="n">
        <v>33907461.42</v>
      </c>
      <c r="AI13" s="5" t="n">
        <v>33907461.42</v>
      </c>
    </row>
    <row r="14">
      <c r="A14" s="6" t="inlineStr">
        <is>
          <t>2024-01</t>
        </is>
      </c>
      <c r="B14" s="5" t="n">
        <v>5069765.91</v>
      </c>
      <c r="C14" s="5" t="n">
        <v>14605559.55</v>
      </c>
      <c r="D14" s="5" t="n">
        <v>20485477.44</v>
      </c>
      <c r="E14" s="5" t="n">
        <v>23764830.06</v>
      </c>
      <c r="F14" s="5" t="n">
        <v>25441053.82</v>
      </c>
      <c r="G14" s="5" t="n">
        <v>26299675.77</v>
      </c>
      <c r="H14" s="5" t="n">
        <v>26732105.63</v>
      </c>
      <c r="I14" s="5" t="n">
        <v>26932186.88</v>
      </c>
      <c r="J14" s="5" t="n">
        <v>27036366.03</v>
      </c>
      <c r="K14" s="5" t="n">
        <v>27082978.76</v>
      </c>
      <c r="L14" s="5" t="n">
        <v>27105305.59</v>
      </c>
      <c r="M14" s="5" t="n">
        <v>27116005.57</v>
      </c>
      <c r="N14" s="5" t="n">
        <v>27121379.56</v>
      </c>
      <c r="O14" s="5" t="n">
        <v>27123834.24</v>
      </c>
      <c r="P14" s="5" t="n">
        <v>27124933.42</v>
      </c>
      <c r="Q14" s="5" t="n">
        <v>27125425.48</v>
      </c>
      <c r="R14" s="5" t="n">
        <v>27125663.43</v>
      </c>
      <c r="S14" s="5" t="n">
        <v>27125770.43</v>
      </c>
      <c r="T14" s="5" t="n">
        <v>27125820.46</v>
      </c>
      <c r="U14" s="5" t="n">
        <v>27125842.87</v>
      </c>
      <c r="V14" s="5" t="n">
        <v>27125853.69</v>
      </c>
      <c r="W14" s="5" t="n">
        <v>27125858.49</v>
      </c>
      <c r="X14" s="5" t="n">
        <v>27125860.86</v>
      </c>
      <c r="Y14" s="5" t="n">
        <v>27125861.98</v>
      </c>
      <c r="Z14" s="5" t="n">
        <v>27125862.46</v>
      </c>
      <c r="AA14" s="5" t="n">
        <v>27125862.69</v>
      </c>
      <c r="AB14" s="5" t="n">
        <v>27125862.79</v>
      </c>
      <c r="AC14" s="5" t="n">
        <v>27125862.84</v>
      </c>
      <c r="AD14" s="5" t="n">
        <v>27125862.86</v>
      </c>
      <c r="AE14" s="5" t="n">
        <v>27125862.87</v>
      </c>
      <c r="AF14" s="5" t="n">
        <v>27125862.88</v>
      </c>
      <c r="AG14" s="5" t="n">
        <v>27125862.88</v>
      </c>
      <c r="AH14" s="5" t="n">
        <v>27125862.88</v>
      </c>
    </row>
    <row r="15">
      <c r="A15" s="6" t="inlineStr">
        <is>
          <t>2024-02</t>
        </is>
      </c>
      <c r="B15" s="5" t="n">
        <v>5788511.74</v>
      </c>
      <c r="C15" s="5" t="n">
        <v>16479709.86</v>
      </c>
      <c r="D15" s="5" t="n">
        <v>23549903.67</v>
      </c>
      <c r="E15" s="5" t="n">
        <v>27417487.6</v>
      </c>
      <c r="F15" s="5" t="n">
        <v>29289623.08</v>
      </c>
      <c r="G15" s="5" t="n">
        <v>30283916.32</v>
      </c>
      <c r="H15" s="5" t="n">
        <v>30766730.15</v>
      </c>
      <c r="I15" s="5" t="n">
        <v>30997084.47</v>
      </c>
      <c r="J15" s="5" t="n">
        <v>31111018.89</v>
      </c>
      <c r="K15" s="5" t="n">
        <v>31161826.09</v>
      </c>
      <c r="L15" s="5" t="n">
        <v>31187452.28</v>
      </c>
      <c r="M15" s="5" t="n">
        <v>31199563.17</v>
      </c>
      <c r="N15" s="5" t="n">
        <v>31205080.31</v>
      </c>
      <c r="O15" s="5" t="n">
        <v>31207617.33</v>
      </c>
      <c r="P15" s="5" t="n">
        <v>31208818.15</v>
      </c>
      <c r="Q15" s="5" t="n">
        <v>31209386.6</v>
      </c>
      <c r="R15" s="5" t="n">
        <v>31209636.03</v>
      </c>
      <c r="S15" s="5" t="n">
        <v>31209760.73</v>
      </c>
      <c r="T15" s="5" t="n">
        <v>31209816.8</v>
      </c>
      <c r="U15" s="5" t="n">
        <v>31209843.55</v>
      </c>
      <c r="V15" s="5" t="n">
        <v>31209855.49</v>
      </c>
      <c r="W15" s="5" t="n">
        <v>31209861.01</v>
      </c>
      <c r="X15" s="5" t="n">
        <v>31209863.59</v>
      </c>
      <c r="Y15" s="5" t="n">
        <v>31209864.77</v>
      </c>
      <c r="Z15" s="5" t="n">
        <v>31209865.3</v>
      </c>
      <c r="AA15" s="5" t="n">
        <v>31209865.55</v>
      </c>
      <c r="AB15" s="5" t="n">
        <v>31209865.66</v>
      </c>
      <c r="AC15" s="5" t="n">
        <v>31209865.71</v>
      </c>
      <c r="AD15" s="5" t="n">
        <v>31209865.73</v>
      </c>
      <c r="AE15" s="5" t="n">
        <v>31209865.74</v>
      </c>
      <c r="AF15" s="5" t="n">
        <v>31209865.75</v>
      </c>
      <c r="AG15" s="5" t="n">
        <v>31209865.75</v>
      </c>
    </row>
    <row r="16">
      <c r="A16" s="6" t="inlineStr">
        <is>
          <t>2024-03</t>
        </is>
      </c>
      <c r="B16" s="5" t="n">
        <v>6067858.01</v>
      </c>
      <c r="C16" s="5" t="n">
        <v>17069474.92</v>
      </c>
      <c r="D16" s="5" t="n">
        <v>23908831.04</v>
      </c>
      <c r="E16" s="5" t="n">
        <v>27563010.46</v>
      </c>
      <c r="F16" s="5" t="n">
        <v>29444068.1</v>
      </c>
      <c r="G16" s="5" t="n">
        <v>30415064.05</v>
      </c>
      <c r="H16" s="5" t="n">
        <v>30895129.35</v>
      </c>
      <c r="I16" s="5" t="n">
        <v>31121350.31</v>
      </c>
      <c r="J16" s="5" t="n">
        <v>31226854.91</v>
      </c>
      <c r="K16" s="5" t="n">
        <v>31277522.37</v>
      </c>
      <c r="L16" s="5" t="n">
        <v>31300040.16</v>
      </c>
      <c r="M16" s="5" t="n">
        <v>31311779.41</v>
      </c>
      <c r="N16" s="5" t="n">
        <v>31317274.56</v>
      </c>
      <c r="O16" s="5" t="n">
        <v>31319855.09</v>
      </c>
      <c r="P16" s="5" t="n">
        <v>31321039.23</v>
      </c>
      <c r="Q16" s="5" t="n">
        <v>31321597.41</v>
      </c>
      <c r="R16" s="5" t="n">
        <v>31321852.1</v>
      </c>
      <c r="S16" s="5" t="n">
        <v>31321967.48</v>
      </c>
      <c r="T16" s="5" t="n">
        <v>31322022.09</v>
      </c>
      <c r="U16" s="5" t="n">
        <v>31322046.86</v>
      </c>
      <c r="V16" s="5" t="n">
        <v>31322057.79</v>
      </c>
      <c r="W16" s="5" t="n">
        <v>31322063.2</v>
      </c>
      <c r="X16" s="5" t="n">
        <v>31322065.74</v>
      </c>
      <c r="Y16" s="5" t="n">
        <v>31322066.84</v>
      </c>
      <c r="Z16" s="5" t="n">
        <v>31322067.37</v>
      </c>
      <c r="AA16" s="5" t="n">
        <v>31322067.59</v>
      </c>
      <c r="AB16" s="5" t="n">
        <v>31322067.7</v>
      </c>
      <c r="AC16" s="5" t="n">
        <v>31322067.74</v>
      </c>
      <c r="AD16" s="5" t="n">
        <v>31322067.77</v>
      </c>
      <c r="AE16" s="5" t="n">
        <v>31322067.78</v>
      </c>
      <c r="AF16" s="5" t="n">
        <v>31322067.78</v>
      </c>
    </row>
    <row r="17">
      <c r="A17" s="6" t="inlineStr">
        <is>
          <t>2024-04</t>
        </is>
      </c>
      <c r="B17" s="5" t="n">
        <v>5634156.96</v>
      </c>
      <c r="C17" s="5" t="n">
        <v>15985916.22</v>
      </c>
      <c r="D17" s="5" t="n">
        <v>22581792.19</v>
      </c>
      <c r="E17" s="5" t="n">
        <v>26262457.47</v>
      </c>
      <c r="F17" s="5" t="n">
        <v>28172130.81</v>
      </c>
      <c r="G17" s="5" t="n">
        <v>29094302.38</v>
      </c>
      <c r="H17" s="5" t="n">
        <v>29601330.44</v>
      </c>
      <c r="I17" s="5" t="n">
        <v>29828885.97</v>
      </c>
      <c r="J17" s="5" t="n">
        <v>29933086.4</v>
      </c>
      <c r="K17" s="5" t="n">
        <v>29987395.84</v>
      </c>
      <c r="L17" s="5" t="n">
        <v>30011106.34</v>
      </c>
      <c r="M17" s="5" t="n">
        <v>30022505.49</v>
      </c>
      <c r="N17" s="5" t="n">
        <v>30027881.36</v>
      </c>
      <c r="O17" s="5" t="n">
        <v>30030362.22</v>
      </c>
      <c r="P17" s="5" t="n">
        <v>30031524.67</v>
      </c>
      <c r="Q17" s="5" t="n">
        <v>30032072.11</v>
      </c>
      <c r="R17" s="5" t="n">
        <v>30032310.9</v>
      </c>
      <c r="S17" s="5" t="n">
        <v>30032422.69</v>
      </c>
      <c r="T17" s="5" t="n">
        <v>30032476.72</v>
      </c>
      <c r="U17" s="5" t="n">
        <v>30032500.12</v>
      </c>
      <c r="V17" s="5" t="n">
        <v>30032511.51</v>
      </c>
      <c r="W17" s="5" t="n">
        <v>30032516.21</v>
      </c>
      <c r="X17" s="5" t="n">
        <v>30032518.43</v>
      </c>
      <c r="Y17" s="5" t="n">
        <v>30032519.54</v>
      </c>
      <c r="Z17" s="5" t="n">
        <v>30032520.01</v>
      </c>
      <c r="AA17" s="5" t="n">
        <v>30032520.23</v>
      </c>
      <c r="AB17" s="5" t="n">
        <v>30032520.32</v>
      </c>
      <c r="AC17" s="5" t="n">
        <v>30032520.38</v>
      </c>
      <c r="AD17" s="5" t="n">
        <v>30032520.4</v>
      </c>
      <c r="AE17" s="5" t="n">
        <v>30032520.41</v>
      </c>
    </row>
    <row r="18">
      <c r="A18" s="6" t="inlineStr">
        <is>
          <t>2024-05</t>
        </is>
      </c>
      <c r="B18" s="5" t="n">
        <v>5945348.38</v>
      </c>
      <c r="C18" s="5" t="n">
        <v>16961762.21</v>
      </c>
      <c r="D18" s="5" t="n">
        <v>23462480.5</v>
      </c>
      <c r="E18" s="5" t="n">
        <v>27254344.27</v>
      </c>
      <c r="F18" s="5" t="n">
        <v>29229475.78</v>
      </c>
      <c r="G18" s="5" t="n">
        <v>30193751.52</v>
      </c>
      <c r="H18" s="5" t="n">
        <v>30668746.43</v>
      </c>
      <c r="I18" s="5" t="n">
        <v>30891589.07</v>
      </c>
      <c r="J18" s="5" t="n">
        <v>30997696.63</v>
      </c>
      <c r="K18" s="5" t="n">
        <v>31047823.57</v>
      </c>
      <c r="L18" s="5" t="n">
        <v>31072512.77</v>
      </c>
      <c r="M18" s="5" t="n">
        <v>31083355.13</v>
      </c>
      <c r="N18" s="5" t="n">
        <v>31088348.72</v>
      </c>
      <c r="O18" s="5" t="n">
        <v>31090715.19</v>
      </c>
      <c r="P18" s="5" t="n">
        <v>31091836.75</v>
      </c>
      <c r="Q18" s="5" t="n">
        <v>31092361.76</v>
      </c>
      <c r="R18" s="5" t="n">
        <v>31092602.2</v>
      </c>
      <c r="S18" s="5" t="n">
        <v>31092708.29</v>
      </c>
      <c r="T18" s="5" t="n">
        <v>31092758.09</v>
      </c>
      <c r="U18" s="5" t="n">
        <v>31092781.54</v>
      </c>
      <c r="V18" s="5" t="n">
        <v>31092791.96</v>
      </c>
      <c r="W18" s="5" t="n">
        <v>31092796.69</v>
      </c>
      <c r="X18" s="5" t="n">
        <v>31092798.83</v>
      </c>
      <c r="Y18" s="5" t="n">
        <v>31092799.88</v>
      </c>
      <c r="Z18" s="5" t="n">
        <v>31092800.34</v>
      </c>
      <c r="AA18" s="5" t="n">
        <v>31092800.53</v>
      </c>
      <c r="AB18" s="5" t="n">
        <v>31092800.65</v>
      </c>
      <c r="AC18" s="5" t="n">
        <v>31092800.69</v>
      </c>
      <c r="AD18" s="5" t="n">
        <v>31092800.71</v>
      </c>
    </row>
    <row r="19">
      <c r="A19" s="6" t="inlineStr">
        <is>
          <t>2024-06</t>
        </is>
      </c>
      <c r="B19" s="5" t="n">
        <v>6654096.05</v>
      </c>
      <c r="C19" s="5" t="n">
        <v>18615944.94</v>
      </c>
      <c r="D19" s="5" t="n">
        <v>25872759.25</v>
      </c>
      <c r="E19" s="5" t="n">
        <v>29846296.86</v>
      </c>
      <c r="F19" s="5" t="n">
        <v>31846683.32</v>
      </c>
      <c r="G19" s="5" t="n">
        <v>32906967.02</v>
      </c>
      <c r="H19" s="5" t="n">
        <v>33397738.56</v>
      </c>
      <c r="I19" s="5" t="n">
        <v>33645787.79</v>
      </c>
      <c r="J19" s="5" t="n">
        <v>33758423.04</v>
      </c>
      <c r="K19" s="5" t="n">
        <v>33812507.77</v>
      </c>
      <c r="L19" s="5" t="n">
        <v>33837031.41</v>
      </c>
      <c r="M19" s="5" t="n">
        <v>33849104.91</v>
      </c>
      <c r="N19" s="5" t="n">
        <v>33854629.29</v>
      </c>
      <c r="O19" s="5" t="n">
        <v>33857166.96</v>
      </c>
      <c r="P19" s="5" t="n">
        <v>33858344.24</v>
      </c>
      <c r="Q19" s="5" t="n">
        <v>33858890.46</v>
      </c>
      <c r="R19" s="5" t="n">
        <v>33859139.9</v>
      </c>
      <c r="S19" s="5" t="n">
        <v>33859253.76</v>
      </c>
      <c r="T19" s="5" t="n">
        <v>33859306.4</v>
      </c>
      <c r="U19" s="5" t="n">
        <v>33859329.41</v>
      </c>
      <c r="V19" s="5" t="n">
        <v>33859340.15</v>
      </c>
      <c r="W19" s="5" t="n">
        <v>33859345.22</v>
      </c>
      <c r="X19" s="5" t="n">
        <v>33859347.54</v>
      </c>
      <c r="Y19" s="5" t="n">
        <v>33859348.55</v>
      </c>
      <c r="Z19" s="5" t="n">
        <v>33859348.96</v>
      </c>
      <c r="AA19" s="5" t="n">
        <v>33859349.24</v>
      </c>
      <c r="AB19" s="5" t="n">
        <v>33859349.34</v>
      </c>
      <c r="AC19" s="5" t="n">
        <v>33859349.38</v>
      </c>
    </row>
    <row r="20">
      <c r="A20" s="6" t="inlineStr">
        <is>
          <t>2024-07</t>
        </is>
      </c>
      <c r="B20" s="5" t="n">
        <v>6008984.78</v>
      </c>
      <c r="C20" s="5" t="n">
        <v>16132133.39</v>
      </c>
      <c r="D20" s="5" t="n">
        <v>23273380.52</v>
      </c>
      <c r="E20" s="5" t="n">
        <v>26903264.6</v>
      </c>
      <c r="F20" s="5" t="n">
        <v>28733238.77</v>
      </c>
      <c r="G20" s="5" t="n">
        <v>29687184.6</v>
      </c>
      <c r="H20" s="5" t="n">
        <v>30118980.2</v>
      </c>
      <c r="I20" s="5" t="n">
        <v>30339628.27</v>
      </c>
      <c r="J20" s="5" t="n">
        <v>30446883.88</v>
      </c>
      <c r="K20" s="5" t="n">
        <v>30496256.26</v>
      </c>
      <c r="L20" s="5" t="n">
        <v>30519646.48</v>
      </c>
      <c r="M20" s="5" t="n">
        <v>30529987.91</v>
      </c>
      <c r="N20" s="5" t="n">
        <v>30534688.55</v>
      </c>
      <c r="O20" s="5" t="n">
        <v>30537093.54</v>
      </c>
      <c r="P20" s="5" t="n">
        <v>30538174.02</v>
      </c>
      <c r="Q20" s="5" t="n">
        <v>30538653.98</v>
      </c>
      <c r="R20" s="5" t="n">
        <v>30538877.58</v>
      </c>
      <c r="S20" s="5" t="n">
        <v>30538983.33</v>
      </c>
      <c r="T20" s="5" t="n">
        <v>30539029.34</v>
      </c>
      <c r="U20" s="5" t="n">
        <v>30539051.49</v>
      </c>
      <c r="V20" s="5" t="n">
        <v>30539061.94</v>
      </c>
      <c r="W20" s="5" t="n">
        <v>30539066.31</v>
      </c>
      <c r="X20" s="5" t="n">
        <v>30539068.35</v>
      </c>
      <c r="Y20" s="5" t="n">
        <v>30539069.15</v>
      </c>
      <c r="Z20" s="5" t="n">
        <v>30539069.66</v>
      </c>
      <c r="AA20" s="5" t="n">
        <v>30539069.85</v>
      </c>
      <c r="AB20" s="5" t="n">
        <v>30539069.94</v>
      </c>
    </row>
    <row r="21">
      <c r="A21" s="6" t="inlineStr">
        <is>
          <t>2024-08</t>
        </is>
      </c>
      <c r="B21" s="5" t="n">
        <v>6916061.98</v>
      </c>
      <c r="C21" s="5" t="n">
        <v>19277154.97</v>
      </c>
      <c r="D21" s="5" t="n">
        <v>26836345.98</v>
      </c>
      <c r="E21" s="5" t="n">
        <v>31163046.57</v>
      </c>
      <c r="F21" s="5" t="n">
        <v>33288676.41</v>
      </c>
      <c r="G21" s="5" t="n">
        <v>34291653.43</v>
      </c>
      <c r="H21" s="5" t="n">
        <v>34787239.29</v>
      </c>
      <c r="I21" s="5" t="n">
        <v>35034729.62</v>
      </c>
      <c r="J21" s="5" t="n">
        <v>35150123.61</v>
      </c>
      <c r="K21" s="5" t="n">
        <v>35202435.08</v>
      </c>
      <c r="L21" s="5" t="n">
        <v>35227250.39</v>
      </c>
      <c r="M21" s="5" t="n">
        <v>35238453.06</v>
      </c>
      <c r="N21" s="5" t="n">
        <v>35243650.58</v>
      </c>
      <c r="O21" s="5" t="n">
        <v>35246049.6</v>
      </c>
      <c r="P21" s="5" t="n">
        <v>35247097.17</v>
      </c>
      <c r="Q21" s="5" t="n">
        <v>35247634.4</v>
      </c>
      <c r="R21" s="5" t="n">
        <v>35247878.96</v>
      </c>
      <c r="S21" s="5" t="n">
        <v>35247987.81</v>
      </c>
      <c r="T21" s="5" t="n">
        <v>35248036.33</v>
      </c>
      <c r="U21" s="5" t="n">
        <v>35248059.64</v>
      </c>
      <c r="V21" s="5" t="n">
        <v>35248070.07</v>
      </c>
      <c r="W21" s="5" t="n">
        <v>35248074.63</v>
      </c>
      <c r="X21" s="5" t="n">
        <v>35248076.5</v>
      </c>
      <c r="Y21" s="5" t="n">
        <v>35248077.78</v>
      </c>
      <c r="Z21" s="5" t="n">
        <v>35248078.22</v>
      </c>
      <c r="AA21" s="5" t="n">
        <v>35248078.42</v>
      </c>
    </row>
    <row r="22">
      <c r="A22" s="6" t="inlineStr">
        <is>
          <t>2024-09</t>
        </is>
      </c>
      <c r="B22" s="5" t="n">
        <v>6541575.25</v>
      </c>
      <c r="C22" s="5" t="n">
        <v>18580574.77</v>
      </c>
      <c r="D22" s="5" t="n">
        <v>25992723.55</v>
      </c>
      <c r="E22" s="5" t="n">
        <v>30138911.83</v>
      </c>
      <c r="F22" s="5" t="n">
        <v>32333546.05</v>
      </c>
      <c r="G22" s="5" t="n">
        <v>33329242</v>
      </c>
      <c r="H22" s="5" t="n">
        <v>33811488.53</v>
      </c>
      <c r="I22" s="5" t="n">
        <v>34052243.06</v>
      </c>
      <c r="J22" s="5" t="n">
        <v>34165181.02</v>
      </c>
      <c r="K22" s="5" t="n">
        <v>34220659.25</v>
      </c>
      <c r="L22" s="5" t="n">
        <v>34246203.74</v>
      </c>
      <c r="M22" s="5" t="n">
        <v>34257824.9</v>
      </c>
      <c r="N22" s="5" t="n">
        <v>34263026.77</v>
      </c>
      <c r="O22" s="5" t="n">
        <v>34265601.89</v>
      </c>
      <c r="P22" s="5" t="n">
        <v>34266778.25</v>
      </c>
      <c r="Q22" s="5" t="n">
        <v>34267313.35</v>
      </c>
      <c r="R22" s="5" t="n">
        <v>34267547.59</v>
      </c>
      <c r="S22" s="5" t="n">
        <v>34267654.84</v>
      </c>
      <c r="T22" s="5" t="n">
        <v>34267703.24</v>
      </c>
      <c r="U22" s="5" t="n">
        <v>34267725.19</v>
      </c>
      <c r="V22" s="5" t="n">
        <v>34267735.71</v>
      </c>
      <c r="W22" s="5" t="n">
        <v>34267739.78</v>
      </c>
      <c r="X22" s="5" t="n">
        <v>34267742.35</v>
      </c>
      <c r="Y22" s="5" t="n">
        <v>34267743.26</v>
      </c>
      <c r="Z22" s="5" t="n">
        <v>34267743.7</v>
      </c>
    </row>
    <row r="23">
      <c r="A23" s="6" t="inlineStr">
        <is>
          <t>2024-10</t>
        </is>
      </c>
      <c r="B23" s="5" t="n">
        <v>7387079.13</v>
      </c>
      <c r="C23" s="5" t="n">
        <v>19970289.59</v>
      </c>
      <c r="D23" s="5" t="n">
        <v>28057476.26</v>
      </c>
      <c r="E23" s="5" t="n">
        <v>32486912.77</v>
      </c>
      <c r="F23" s="5" t="n">
        <v>34701156.35</v>
      </c>
      <c r="G23" s="5" t="n">
        <v>35820003.32</v>
      </c>
      <c r="H23" s="5" t="n">
        <v>36347319.46</v>
      </c>
      <c r="I23" s="5" t="n">
        <v>36603230.47</v>
      </c>
      <c r="J23" s="5" t="n">
        <v>36718241.49</v>
      </c>
      <c r="K23" s="5" t="n">
        <v>36772969.13</v>
      </c>
      <c r="L23" s="5" t="n">
        <v>36797976.17</v>
      </c>
      <c r="M23" s="5" t="n">
        <v>36810004.95</v>
      </c>
      <c r="N23" s="5" t="n">
        <v>36815477.77</v>
      </c>
      <c r="O23" s="5" t="n">
        <v>36818109.53</v>
      </c>
      <c r="P23" s="5" t="n">
        <v>36819270.55</v>
      </c>
      <c r="Q23" s="5" t="n">
        <v>36819800.37</v>
      </c>
      <c r="R23" s="5" t="n">
        <v>36820046.9</v>
      </c>
      <c r="S23" s="5" t="n">
        <v>36820154.73</v>
      </c>
      <c r="T23" s="5" t="n">
        <v>36820202.86</v>
      </c>
      <c r="U23" s="5" t="n">
        <v>36820224.76</v>
      </c>
      <c r="V23" s="5" t="n">
        <v>36820233.93</v>
      </c>
      <c r="W23" s="5" t="n">
        <v>36820239.75</v>
      </c>
      <c r="X23" s="5" t="n">
        <v>36820241.8</v>
      </c>
      <c r="Y23" s="5" t="n">
        <v>36820242.79</v>
      </c>
    </row>
    <row r="24">
      <c r="A24" s="6" t="inlineStr">
        <is>
          <t>2024-11</t>
        </is>
      </c>
      <c r="B24" s="5" t="n">
        <v>6857811.35</v>
      </c>
      <c r="C24" s="5" t="n">
        <v>18782903.33</v>
      </c>
      <c r="D24" s="5" t="n">
        <v>26373861.57</v>
      </c>
      <c r="E24" s="5" t="n">
        <v>30343645.69</v>
      </c>
      <c r="F24" s="5" t="n">
        <v>32518786.73</v>
      </c>
      <c r="G24" s="5" t="n">
        <v>33535314.97</v>
      </c>
      <c r="H24" s="5" t="n">
        <v>34057416.06</v>
      </c>
      <c r="I24" s="5" t="n">
        <v>34291363.4</v>
      </c>
      <c r="J24" s="5" t="n">
        <v>34397416.63</v>
      </c>
      <c r="K24" s="5" t="n">
        <v>34445917.08</v>
      </c>
      <c r="L24" s="5" t="n">
        <v>34468579.83</v>
      </c>
      <c r="M24" s="5" t="n">
        <v>34480050.57</v>
      </c>
      <c r="N24" s="5" t="n">
        <v>34484917.25</v>
      </c>
      <c r="O24" s="5" t="n">
        <v>34487126.44</v>
      </c>
      <c r="P24" s="5" t="n">
        <v>34488182.06</v>
      </c>
      <c r="Q24" s="5" t="n">
        <v>34488656.5</v>
      </c>
      <c r="R24" s="5" t="n">
        <v>34488868.08</v>
      </c>
      <c r="S24" s="5" t="n">
        <v>34488966.59</v>
      </c>
      <c r="T24" s="5" t="n">
        <v>34489013.05</v>
      </c>
      <c r="U24" s="5" t="n">
        <v>34489030.07</v>
      </c>
      <c r="V24" s="5" t="n">
        <v>34489041.13</v>
      </c>
      <c r="W24" s="5" t="n">
        <v>34489045.03</v>
      </c>
      <c r="X24" s="5" t="n">
        <v>34489046.84</v>
      </c>
    </row>
    <row r="25">
      <c r="A25" s="6" t="inlineStr">
        <is>
          <t>2024-12</t>
        </is>
      </c>
      <c r="B25" s="5" t="n">
        <v>7473893.87</v>
      </c>
      <c r="C25" s="5" t="n">
        <v>22060963.2</v>
      </c>
      <c r="D25" s="5" t="n">
        <v>30616523.71</v>
      </c>
      <c r="E25" s="5" t="n">
        <v>35322726.37</v>
      </c>
      <c r="F25" s="5" t="n">
        <v>37770970.71</v>
      </c>
      <c r="G25" s="5" t="n">
        <v>38950569.48</v>
      </c>
      <c r="H25" s="5" t="n">
        <v>39493100.73</v>
      </c>
      <c r="I25" s="5" t="n">
        <v>39754789.16</v>
      </c>
      <c r="J25" s="5" t="n">
        <v>39884498.6</v>
      </c>
      <c r="K25" s="5" t="n">
        <v>39942202.79</v>
      </c>
      <c r="L25" s="5" t="n">
        <v>39967935.83</v>
      </c>
      <c r="M25" s="5" t="n">
        <v>39981265.7</v>
      </c>
      <c r="N25" s="5" t="n">
        <v>39987249.76</v>
      </c>
      <c r="O25" s="5" t="n">
        <v>39989903.9</v>
      </c>
      <c r="P25" s="5" t="n">
        <v>39991023.68</v>
      </c>
      <c r="Q25" s="5" t="n">
        <v>39991549.48</v>
      </c>
      <c r="R25" s="5" t="n">
        <v>39991794.31</v>
      </c>
      <c r="S25" s="5" t="n">
        <v>39991906.04</v>
      </c>
      <c r="T25" s="5" t="n">
        <v>39991947.14</v>
      </c>
      <c r="U25" s="5" t="n">
        <v>39991975.43</v>
      </c>
      <c r="V25" s="5" t="n">
        <v>39991985.46</v>
      </c>
      <c r="W25" s="5" t="n">
        <v>39991990.14</v>
      </c>
    </row>
    <row r="26">
      <c r="A26" s="6" t="inlineStr">
        <is>
          <t>2025-01</t>
        </is>
      </c>
      <c r="B26" s="5" t="n">
        <v>6679630.21</v>
      </c>
      <c r="C26" s="5" t="n">
        <v>18525335.57</v>
      </c>
      <c r="D26" s="5" t="n">
        <v>26225663.18</v>
      </c>
      <c r="E26" s="5" t="n">
        <v>30223186.81</v>
      </c>
      <c r="F26" s="5" t="n">
        <v>32307478.63</v>
      </c>
      <c r="G26" s="5" t="n">
        <v>33342451.09</v>
      </c>
      <c r="H26" s="5" t="n">
        <v>33834445.08</v>
      </c>
      <c r="I26" s="5" t="n">
        <v>34064911.41</v>
      </c>
      <c r="J26" s="5" t="n">
        <v>34171049.65</v>
      </c>
      <c r="K26" s="5" t="n">
        <v>34218664.31</v>
      </c>
      <c r="L26" s="5" t="n">
        <v>34239817.89</v>
      </c>
      <c r="M26" s="5" t="n">
        <v>34249947.17</v>
      </c>
      <c r="N26" s="5" t="n">
        <v>34254630.31</v>
      </c>
      <c r="O26" s="5" t="n">
        <v>34256733.38</v>
      </c>
      <c r="P26" s="5" t="n">
        <v>34257730.72</v>
      </c>
      <c r="Q26" s="5" t="n">
        <v>34258172.51</v>
      </c>
      <c r="R26" s="5" t="n">
        <v>34258371.58</v>
      </c>
      <c r="S26" s="5" t="n">
        <v>34258452.37</v>
      </c>
      <c r="T26" s="5" t="n">
        <v>34258503.01</v>
      </c>
      <c r="U26" s="5" t="n">
        <v>34258521.47</v>
      </c>
      <c r="V26" s="5" t="n">
        <v>34258529.59</v>
      </c>
    </row>
    <row r="27">
      <c r="A27" s="6" t="inlineStr">
        <is>
          <t>2025-02</t>
        </is>
      </c>
      <c r="B27" s="5" t="n">
        <v>6811110.56</v>
      </c>
      <c r="C27" s="5" t="n">
        <v>19414754.45</v>
      </c>
      <c r="D27" s="5" t="n">
        <v>26968086.09</v>
      </c>
      <c r="E27" s="5" t="n">
        <v>30939456.12</v>
      </c>
      <c r="F27" s="5" t="n">
        <v>32997263.85</v>
      </c>
      <c r="G27" s="5" t="n">
        <v>33948625.8</v>
      </c>
      <c r="H27" s="5" t="n">
        <v>34411356</v>
      </c>
      <c r="I27" s="5" t="n">
        <v>34637933.16</v>
      </c>
      <c r="J27" s="5" t="n">
        <v>34742865.85</v>
      </c>
      <c r="K27" s="5" t="n">
        <v>34787905.71</v>
      </c>
      <c r="L27" s="5" t="n">
        <v>34810662.48</v>
      </c>
      <c r="M27" s="5" t="n">
        <v>34820732.62</v>
      </c>
      <c r="N27" s="5" t="n">
        <v>34825283.61</v>
      </c>
      <c r="O27" s="5" t="n">
        <v>34827370.97</v>
      </c>
      <c r="P27" s="5" t="n">
        <v>34828342.02</v>
      </c>
      <c r="Q27" s="5" t="n">
        <v>34828770.77</v>
      </c>
      <c r="R27" s="5" t="n">
        <v>34828939.92</v>
      </c>
      <c r="S27" s="5" t="n">
        <v>34829050.52</v>
      </c>
      <c r="T27" s="5" t="n">
        <v>34829088.62</v>
      </c>
      <c r="U27" s="5" t="n">
        <v>34829106.02</v>
      </c>
    </row>
    <row r="28">
      <c r="A28" s="6" t="inlineStr">
        <is>
          <t>2025-03</t>
        </is>
      </c>
      <c r="B28" s="5" t="n">
        <v>7535318.99</v>
      </c>
      <c r="C28" s="5" t="n">
        <v>20821689.13</v>
      </c>
      <c r="D28" s="5" t="n">
        <v>29172781.5</v>
      </c>
      <c r="E28" s="5" t="n">
        <v>33478372.26</v>
      </c>
      <c r="F28" s="5" t="n">
        <v>35710988.75</v>
      </c>
      <c r="G28" s="5" t="n">
        <v>36734041.99</v>
      </c>
      <c r="H28" s="5" t="n">
        <v>37239416.49</v>
      </c>
      <c r="I28" s="5" t="n">
        <v>37464831.68</v>
      </c>
      <c r="J28" s="5" t="n">
        <v>37578904.62</v>
      </c>
      <c r="K28" s="5" t="n">
        <v>37628927.91</v>
      </c>
      <c r="L28" s="5" t="n">
        <v>37652702.85</v>
      </c>
      <c r="M28" s="5" t="n">
        <v>37663232.17</v>
      </c>
      <c r="N28" s="5" t="n">
        <v>37668182.32</v>
      </c>
      <c r="O28" s="5" t="n">
        <v>37670379.38</v>
      </c>
      <c r="P28" s="5" t="n">
        <v>37671366.57</v>
      </c>
      <c r="Q28" s="5" t="n">
        <v>37671735.3</v>
      </c>
      <c r="R28" s="5" t="n">
        <v>37671991.47</v>
      </c>
      <c r="S28" s="5" t="n">
        <v>37672080.63</v>
      </c>
      <c r="T28" s="5" t="n">
        <v>37672122.36</v>
      </c>
    </row>
    <row r="29">
      <c r="A29" s="6" t="inlineStr">
        <is>
          <t>2025-04</t>
        </is>
      </c>
      <c r="B29" s="5" t="n">
        <v>7455673.2</v>
      </c>
      <c r="C29" s="5" t="n">
        <v>20579534.18</v>
      </c>
      <c r="D29" s="5" t="n">
        <v>27889430.35</v>
      </c>
      <c r="E29" s="5" t="n">
        <v>32146467.22</v>
      </c>
      <c r="F29" s="5" t="n">
        <v>34164597.65</v>
      </c>
      <c r="G29" s="5" t="n">
        <v>35162888.13</v>
      </c>
      <c r="H29" s="5" t="n">
        <v>35638326.56</v>
      </c>
      <c r="I29" s="5" t="n">
        <v>35857774.81</v>
      </c>
      <c r="J29" s="5" t="n">
        <v>35962818.79</v>
      </c>
      <c r="K29" s="5" t="n">
        <v>36009460.56</v>
      </c>
      <c r="L29" s="5" t="n">
        <v>36032278.72</v>
      </c>
      <c r="M29" s="5" t="n">
        <v>36042176.1</v>
      </c>
      <c r="N29" s="5" t="n">
        <v>36046760.57</v>
      </c>
      <c r="O29" s="5" t="n">
        <v>36048855.47</v>
      </c>
      <c r="P29" s="5" t="n">
        <v>36049648.91</v>
      </c>
      <c r="Q29" s="5" t="n">
        <v>36050183.82</v>
      </c>
      <c r="R29" s="5" t="n">
        <v>36050370.79</v>
      </c>
      <c r="S29" s="5" t="n">
        <v>36050457</v>
      </c>
    </row>
    <row r="30">
      <c r="A30" s="6" t="inlineStr">
        <is>
          <t>2025-05</t>
        </is>
      </c>
      <c r="B30" s="5" t="n">
        <v>6698965.96</v>
      </c>
      <c r="C30" s="5" t="n">
        <v>19114321.74</v>
      </c>
      <c r="D30" s="5" t="n">
        <v>27036842.45</v>
      </c>
      <c r="E30" s="5" t="n">
        <v>30975991.61</v>
      </c>
      <c r="F30" s="5" t="n">
        <v>33027698.68</v>
      </c>
      <c r="G30" s="5" t="n">
        <v>33976591.68</v>
      </c>
      <c r="H30" s="5" t="n">
        <v>34423705.15</v>
      </c>
      <c r="I30" s="5" t="n">
        <v>34643343.26</v>
      </c>
      <c r="J30" s="5" t="n">
        <v>34739476.72</v>
      </c>
      <c r="K30" s="5" t="n">
        <v>34786591.98</v>
      </c>
      <c r="L30" s="5" t="n">
        <v>34806733.44</v>
      </c>
      <c r="M30" s="5" t="n">
        <v>34816335.41</v>
      </c>
      <c r="N30" s="5" t="n">
        <v>34820781.06</v>
      </c>
      <c r="O30" s="5" t="n">
        <v>34822407.15</v>
      </c>
      <c r="P30" s="5" t="n">
        <v>34823533.49</v>
      </c>
      <c r="Q30" s="5" t="n">
        <v>34823914.46</v>
      </c>
      <c r="R30" s="5" t="n">
        <v>34824091.42</v>
      </c>
    </row>
    <row r="31">
      <c r="A31" s="6" t="inlineStr">
        <is>
          <t>2025-06</t>
        </is>
      </c>
      <c r="B31" s="5" t="n">
        <v>7109165.4</v>
      </c>
      <c r="C31" s="5" t="n">
        <v>19384640.63</v>
      </c>
      <c r="D31" s="5" t="n">
        <v>27251917.26</v>
      </c>
      <c r="E31" s="5" t="n">
        <v>31317686.43</v>
      </c>
      <c r="F31" s="5" t="n">
        <v>33317236.17</v>
      </c>
      <c r="G31" s="5" t="n">
        <v>34257153.65</v>
      </c>
      <c r="H31" s="5" t="n">
        <v>34678579.84</v>
      </c>
      <c r="I31" s="5" t="n">
        <v>34891854.09</v>
      </c>
      <c r="J31" s="5" t="n">
        <v>34984492.47</v>
      </c>
      <c r="K31" s="5" t="n">
        <v>35029142.82</v>
      </c>
      <c r="L31" s="5" t="n">
        <v>35049244.35</v>
      </c>
      <c r="M31" s="5" t="n">
        <v>35058403.43</v>
      </c>
      <c r="N31" s="5" t="n">
        <v>35062086.72</v>
      </c>
      <c r="O31" s="5" t="n">
        <v>35064406.2</v>
      </c>
      <c r="P31" s="5" t="n">
        <v>35065232.44</v>
      </c>
      <c r="Q31" s="5" t="n">
        <v>35065618</v>
      </c>
    </row>
    <row r="32">
      <c r="A32" s="6" t="inlineStr">
        <is>
          <t>2025-07</t>
        </is>
      </c>
      <c r="B32" s="5" t="n">
        <v>7689729.93</v>
      </c>
      <c r="C32" s="5" t="n">
        <v>21159106.66</v>
      </c>
      <c r="D32" s="5" t="n">
        <v>28928727.03</v>
      </c>
      <c r="E32" s="5" t="n">
        <v>33034290.77</v>
      </c>
      <c r="F32" s="5" t="n">
        <v>35272666.12</v>
      </c>
      <c r="G32" s="5" t="n">
        <v>36283724.17</v>
      </c>
      <c r="H32" s="5" t="n">
        <v>36768109.3</v>
      </c>
      <c r="I32" s="5" t="n">
        <v>36993816.34</v>
      </c>
      <c r="J32" s="5" t="n">
        <v>37097362.89</v>
      </c>
      <c r="K32" s="5" t="n">
        <v>37146994.76</v>
      </c>
      <c r="L32" s="5" t="n">
        <v>37168083.43</v>
      </c>
      <c r="M32" s="5" t="n">
        <v>37177011.7</v>
      </c>
      <c r="N32" s="5" t="n">
        <v>37182571.22</v>
      </c>
      <c r="O32" s="5" t="n">
        <v>37184532.22</v>
      </c>
      <c r="P32" s="5" t="n">
        <v>37185411.6</v>
      </c>
    </row>
    <row r="33">
      <c r="A33" s="6" t="inlineStr">
        <is>
          <t>2025-08</t>
        </is>
      </c>
      <c r="B33" s="5" t="n">
        <v>7341787.8</v>
      </c>
      <c r="C33" s="5" t="n">
        <v>21254460.27</v>
      </c>
      <c r="D33" s="5" t="n">
        <v>30135216.37</v>
      </c>
      <c r="E33" s="5" t="n">
        <v>34275751.03</v>
      </c>
      <c r="F33" s="5" t="n">
        <v>36422258.73</v>
      </c>
      <c r="G33" s="5" t="n">
        <v>37506157.4</v>
      </c>
      <c r="H33" s="5" t="n">
        <v>37984205.05</v>
      </c>
      <c r="I33" s="5" t="n">
        <v>38230113.71</v>
      </c>
      <c r="J33" s="5" t="n">
        <v>38340531.59</v>
      </c>
      <c r="K33" s="5" t="n">
        <v>38389699.39</v>
      </c>
      <c r="L33" s="5" t="n">
        <v>38408714.02</v>
      </c>
      <c r="M33" s="5" t="n">
        <v>38421367.57</v>
      </c>
      <c r="N33" s="5" t="n">
        <v>38425798.22</v>
      </c>
      <c r="O33" s="5" t="n">
        <v>38427738.38</v>
      </c>
    </row>
    <row r="34">
      <c r="A34" s="6" t="inlineStr">
        <is>
          <t>2025-09</t>
        </is>
      </c>
      <c r="B34" s="5" t="n">
        <v>7776954.28</v>
      </c>
      <c r="C34" s="5" t="n">
        <v>20861280.16</v>
      </c>
      <c r="D34" s="5" t="n">
        <v>28713042.6</v>
      </c>
      <c r="E34" s="5" t="n">
        <v>33020729.33</v>
      </c>
      <c r="F34" s="5" t="n">
        <v>35059509.44</v>
      </c>
      <c r="G34" s="5" t="n">
        <v>36065495.93</v>
      </c>
      <c r="H34" s="5" t="n">
        <v>36535350.11</v>
      </c>
      <c r="I34" s="5" t="n">
        <v>36753375.64</v>
      </c>
      <c r="J34" s="5" t="n">
        <v>36855057.3</v>
      </c>
      <c r="K34" s="5" t="n">
        <v>36896191.31</v>
      </c>
      <c r="L34" s="5" t="n">
        <v>36922005.82</v>
      </c>
      <c r="M34" s="5" t="n">
        <v>36931672.94</v>
      </c>
      <c r="N34" s="5" t="n">
        <v>36935841.73</v>
      </c>
    </row>
    <row r="35">
      <c r="A35" s="6" t="inlineStr">
        <is>
          <t>2025-10</t>
        </is>
      </c>
      <c r="B35" s="5" t="n">
        <v>8028927.24</v>
      </c>
      <c r="C35" s="5" t="n">
        <v>22242338.17</v>
      </c>
      <c r="D35" s="5" t="n">
        <v>31053549.71</v>
      </c>
      <c r="E35" s="5" t="n">
        <v>35491282.54</v>
      </c>
      <c r="F35" s="5" t="n">
        <v>37616858.94</v>
      </c>
      <c r="G35" s="5" t="n">
        <v>38662420.6</v>
      </c>
      <c r="H35" s="5" t="n">
        <v>39172522.08</v>
      </c>
      <c r="I35" s="5" t="n">
        <v>39402691.62</v>
      </c>
      <c r="J35" s="5" t="n">
        <v>39495679.03</v>
      </c>
      <c r="K35" s="5" t="n">
        <v>39556984.41</v>
      </c>
      <c r="L35" s="5" t="n">
        <v>39578781.73</v>
      </c>
      <c r="M35" s="5" t="n">
        <v>39588728.29</v>
      </c>
    </row>
    <row r="36">
      <c r="A36" s="6" t="inlineStr">
        <is>
          <t>2025-11</t>
        </is>
      </c>
      <c r="B36" s="5" t="n">
        <v>8177124.69</v>
      </c>
      <c r="C36" s="5" t="n">
        <v>22905020.82</v>
      </c>
      <c r="D36" s="5" t="n">
        <v>31875226.74</v>
      </c>
      <c r="E36" s="5" t="n">
        <v>36601105.74</v>
      </c>
      <c r="F36" s="5" t="n">
        <v>38903696.34</v>
      </c>
      <c r="G36" s="5" t="n">
        <v>39980941.55</v>
      </c>
      <c r="H36" s="5" t="n">
        <v>40487624.34</v>
      </c>
      <c r="I36" s="5" t="n">
        <v>40696852.09</v>
      </c>
      <c r="J36" s="5" t="n">
        <v>40829604.43</v>
      </c>
      <c r="K36" s="5" t="n">
        <v>40876156.79</v>
      </c>
      <c r="L36" s="5" t="n">
        <v>40896755.3</v>
      </c>
    </row>
    <row r="37">
      <c r="A37" s="6" t="inlineStr">
        <is>
          <t>2025-12</t>
        </is>
      </c>
      <c r="B37" s="5" t="n">
        <v>9521967.43</v>
      </c>
      <c r="C37" s="5" t="n">
        <v>25856461.37</v>
      </c>
      <c r="D37" s="5" t="n">
        <v>35603369.24</v>
      </c>
      <c r="E37" s="5" t="n">
        <v>40924677.27</v>
      </c>
      <c r="F37" s="5" t="n">
        <v>43420429.39</v>
      </c>
      <c r="G37" s="5" t="n">
        <v>44702497.11</v>
      </c>
      <c r="H37" s="5" t="n">
        <v>45232148.05</v>
      </c>
      <c r="I37" s="5" t="n">
        <v>45570688.71</v>
      </c>
      <c r="J37" s="5" t="n">
        <v>45686781.59</v>
      </c>
      <c r="K37" s="5" t="n">
        <v>45740854.59</v>
      </c>
    </row>
    <row r="38">
      <c r="A38" s="6" t="inlineStr">
        <is>
          <t>2026-01</t>
        </is>
      </c>
      <c r="B38" s="5" t="n">
        <v>8209203.8</v>
      </c>
      <c r="C38" s="5" t="n">
        <v>22522461.86</v>
      </c>
      <c r="D38" s="5" t="n">
        <v>31246888.3</v>
      </c>
      <c r="E38" s="5" t="n">
        <v>35771094.16</v>
      </c>
      <c r="F38" s="5" t="n">
        <v>37953967.44</v>
      </c>
      <c r="G38" s="5" t="n">
        <v>38838330.26</v>
      </c>
      <c r="H38" s="5" t="n">
        <v>39440702.03</v>
      </c>
      <c r="I38" s="5" t="n">
        <v>39658267.26</v>
      </c>
      <c r="J38" s="5" t="n">
        <v>39761186.73</v>
      </c>
    </row>
    <row r="39">
      <c r="A39" s="6" t="inlineStr">
        <is>
          <t>2026-02</t>
        </is>
      </c>
      <c r="B39" s="5" t="n">
        <v>8227331.63</v>
      </c>
      <c r="C39" s="5" t="n">
        <v>22483084.6</v>
      </c>
      <c r="D39" s="5" t="n">
        <v>31110292.65</v>
      </c>
      <c r="E39" s="5" t="n">
        <v>35603113.51</v>
      </c>
      <c r="F39" s="5" t="n">
        <v>37569200.33</v>
      </c>
      <c r="G39" s="5" t="n">
        <v>38867098.1</v>
      </c>
      <c r="H39" s="5" t="n">
        <v>39349253.88</v>
      </c>
      <c r="I39" s="5" t="n">
        <v>39576995.12</v>
      </c>
    </row>
    <row r="40">
      <c r="A40" s="6" t="inlineStr">
        <is>
          <t>2026-03</t>
        </is>
      </c>
      <c r="B40" s="5" t="n">
        <v>8494284.220000001</v>
      </c>
      <c r="C40" s="5" t="n">
        <v>23493219.87</v>
      </c>
      <c r="D40" s="5" t="n">
        <v>32087299.32</v>
      </c>
      <c r="E40" s="5" t="n">
        <v>36291295.89</v>
      </c>
      <c r="F40" s="5" t="n">
        <v>39204994.54</v>
      </c>
      <c r="G40" s="5" t="n">
        <v>40224702.43</v>
      </c>
      <c r="H40" s="5" t="n">
        <v>40709157.87</v>
      </c>
    </row>
    <row r="41">
      <c r="A41" s="6" t="inlineStr">
        <is>
          <t>2026-04</t>
        </is>
      </c>
      <c r="B41" s="5" t="n">
        <v>8578777.17</v>
      </c>
      <c r="C41" s="5" t="n">
        <v>24360122.75</v>
      </c>
      <c r="D41" s="5" t="n">
        <v>32067572.25</v>
      </c>
      <c r="E41" s="5" t="n">
        <v>37559184.17</v>
      </c>
      <c r="F41" s="5" t="n">
        <v>39911942.21</v>
      </c>
      <c r="G41" s="5" t="n">
        <v>40983865.78</v>
      </c>
    </row>
    <row r="42">
      <c r="A42" s="6" t="inlineStr">
        <is>
          <t>2026-05</t>
        </is>
      </c>
      <c r="B42" s="5" t="n">
        <v>9174306.17</v>
      </c>
      <c r="C42" s="5" t="n">
        <v>22198341.34</v>
      </c>
      <c r="D42" s="5" t="n">
        <v>33108770.41</v>
      </c>
      <c r="E42" s="5" t="n">
        <v>37822198.93</v>
      </c>
      <c r="F42" s="5" t="n">
        <v>39984088.18</v>
      </c>
    </row>
    <row r="43">
      <c r="A43" s="6" t="inlineStr">
        <is>
          <t>2026-06</t>
        </is>
      </c>
      <c r="B43" s="5" t="n">
        <v>7215208.34</v>
      </c>
      <c r="C43" s="5" t="n">
        <v>23324384.74</v>
      </c>
      <c r="D43" s="5" t="n">
        <v>32294619.97</v>
      </c>
      <c r="E43" s="5" t="n">
        <v>36907576.53</v>
      </c>
    </row>
    <row r="44">
      <c r="A44" s="6" t="inlineStr">
        <is>
          <t>2026-07</t>
        </is>
      </c>
      <c r="B44" s="5" t="n">
        <v>8222373.49</v>
      </c>
      <c r="C44" s="5" t="n">
        <v>22791211.88</v>
      </c>
      <c r="D44" s="5" t="n">
        <v>31315628.09</v>
      </c>
    </row>
    <row r="45">
      <c r="A45" s="6" t="inlineStr">
        <is>
          <t>2026-08</t>
        </is>
      </c>
      <c r="B45" s="5" t="n">
        <v>9350822.09</v>
      </c>
      <c r="C45" s="5" t="n">
        <v>25559368.04</v>
      </c>
    </row>
    <row r="46">
      <c r="A46" s="6" t="inlineStr">
        <is>
          <t>2026-09</t>
        </is>
      </c>
      <c r="B46" s="5" t="n">
        <v>8949177.279999999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Incurred</t>
        </is>
      </c>
      <c r="B1" s="3" t="inlineStr">
        <is>
          <t>0-1</t>
        </is>
      </c>
      <c r="C1" s="3" t="inlineStr">
        <is>
          <t>1-2</t>
        </is>
      </c>
      <c r="D1" s="3" t="inlineStr">
        <is>
          <t>2-3</t>
        </is>
      </c>
      <c r="E1" s="3" t="inlineStr">
        <is>
          <t>3-4</t>
        </is>
      </c>
      <c r="F1" s="3" t="inlineStr">
        <is>
          <t>4-5</t>
        </is>
      </c>
      <c r="G1" s="3" t="inlineStr">
        <is>
          <t>5-6</t>
        </is>
      </c>
      <c r="H1" s="3" t="inlineStr">
        <is>
          <t>6-7</t>
        </is>
      </c>
      <c r="I1" s="3" t="inlineStr">
        <is>
          <t>7-8</t>
        </is>
      </c>
      <c r="J1" s="3" t="inlineStr">
        <is>
          <t>8-9</t>
        </is>
      </c>
      <c r="K1" s="3" t="inlineStr">
        <is>
          <t>9-10</t>
        </is>
      </c>
      <c r="L1" s="3" t="inlineStr">
        <is>
          <t>10-11</t>
        </is>
      </c>
      <c r="M1" s="3" t="inlineStr">
        <is>
          <t>11-12</t>
        </is>
      </c>
      <c r="N1" s="3" t="inlineStr">
        <is>
          <t>12-13</t>
        </is>
      </c>
      <c r="O1" s="3" t="inlineStr">
        <is>
          <t>13-14</t>
        </is>
      </c>
      <c r="P1" s="3" t="inlineStr">
        <is>
          <t>14-15</t>
        </is>
      </c>
      <c r="Q1" s="3" t="inlineStr">
        <is>
          <t>15-16</t>
        </is>
      </c>
      <c r="R1" s="3" t="inlineStr">
        <is>
          <t>16-17</t>
        </is>
      </c>
      <c r="S1" s="3" t="inlineStr">
        <is>
          <t>17-18</t>
        </is>
      </c>
      <c r="T1" s="3" t="inlineStr">
        <is>
          <t>18-19</t>
        </is>
      </c>
      <c r="U1" s="3" t="inlineStr">
        <is>
          <t>19-20</t>
        </is>
      </c>
      <c r="V1" s="3" t="inlineStr">
        <is>
          <t>20-21</t>
        </is>
      </c>
      <c r="W1" s="3" t="inlineStr">
        <is>
          <t>21-22</t>
        </is>
      </c>
      <c r="X1" s="3" t="inlineStr">
        <is>
          <t>22-23</t>
        </is>
      </c>
      <c r="Y1" s="3" t="inlineStr">
        <is>
          <t>23-24</t>
        </is>
      </c>
      <c r="Z1" s="3" t="inlineStr">
        <is>
          <t>24-25</t>
        </is>
      </c>
      <c r="AA1" s="3" t="inlineStr">
        <is>
          <t>25-26</t>
        </is>
      </c>
      <c r="AB1" s="3" t="inlineStr">
        <is>
          <t>26-27</t>
        </is>
      </c>
      <c r="AC1" s="3" t="inlineStr">
        <is>
          <t>27-28</t>
        </is>
      </c>
      <c r="AD1" s="3" t="inlineStr">
        <is>
          <t>28-29</t>
        </is>
      </c>
      <c r="AE1" s="3" t="inlineStr">
        <is>
          <t>29-30</t>
        </is>
      </c>
      <c r="AF1" s="3" t="inlineStr">
        <is>
          <t>30-31</t>
        </is>
      </c>
      <c r="AG1" s="3" t="inlineStr">
        <is>
          <t>31-32</t>
        </is>
      </c>
      <c r="AH1" s="3" t="inlineStr">
        <is>
          <t>32-33</t>
        </is>
      </c>
      <c r="AI1" s="3" t="inlineStr">
        <is>
          <t>33-34</t>
        </is>
      </c>
      <c r="AJ1" s="3" t="inlineStr">
        <is>
          <t>34-35</t>
        </is>
      </c>
      <c r="AK1" s="3" t="inlineStr">
        <is>
          <t>35-36</t>
        </is>
      </c>
      <c r="AL1" s="3" t="inlineStr">
        <is>
          <t>36-37</t>
        </is>
      </c>
      <c r="AM1" s="3" t="inlineStr">
        <is>
          <t>37-38</t>
        </is>
      </c>
      <c r="AN1" s="3" t="inlineStr">
        <is>
          <t>38-39</t>
        </is>
      </c>
      <c r="AO1" s="3" t="inlineStr">
        <is>
          <t>39-40</t>
        </is>
      </c>
      <c r="AP1" s="3" t="inlineStr">
        <is>
          <t>40-41</t>
        </is>
      </c>
      <c r="AQ1" s="3" t="inlineStr">
        <is>
          <t>41-42</t>
        </is>
      </c>
      <c r="AR1" s="3" t="inlineStr">
        <is>
          <t>42-43</t>
        </is>
      </c>
      <c r="AS1" s="3" t="inlineStr">
        <is>
          <t>43-44</t>
        </is>
      </c>
    </row>
    <row r="2">
      <c r="A2" s="6" t="inlineStr">
        <is>
          <t>2023-01</t>
        </is>
      </c>
      <c r="B2" s="10">
        <f>IF('OP Triangle'!B2&gt;0,'OP Triangle'!C2/'OP Triangle'!B2,"")</f>
        <v/>
      </c>
      <c r="C2" s="10">
        <f>IF('OP Triangle'!C2&gt;0,'OP Triangle'!D2/'OP Triangle'!C2,"")</f>
        <v/>
      </c>
      <c r="D2" s="10">
        <f>IF('OP Triangle'!D2&gt;0,'OP Triangle'!E2/'OP Triangle'!D2,"")</f>
        <v/>
      </c>
      <c r="E2" s="10">
        <f>IF('OP Triangle'!E2&gt;0,'OP Triangle'!F2/'OP Triangle'!E2,"")</f>
        <v/>
      </c>
      <c r="F2" s="10">
        <f>IF('OP Triangle'!F2&gt;0,'OP Triangle'!G2/'OP Triangle'!F2,"")</f>
        <v/>
      </c>
      <c r="G2" s="10">
        <f>IF('OP Triangle'!G2&gt;0,'OP Triangle'!H2/'OP Triangle'!G2,"")</f>
        <v/>
      </c>
      <c r="H2" s="10">
        <f>IF('OP Triangle'!H2&gt;0,'OP Triangle'!I2/'OP Triangle'!H2,"")</f>
        <v/>
      </c>
      <c r="I2" s="10">
        <f>IF('OP Triangle'!I2&gt;0,'OP Triangle'!J2/'OP Triangle'!I2,"")</f>
        <v/>
      </c>
      <c r="J2" s="10">
        <f>IF('OP Triangle'!J2&gt;0,'OP Triangle'!K2/'OP Triangle'!J2,"")</f>
        <v/>
      </c>
      <c r="K2" s="10">
        <f>IF('OP Triangle'!K2&gt;0,'OP Triangle'!L2/'OP Triangle'!K2,"")</f>
        <v/>
      </c>
      <c r="L2" s="10">
        <f>IF('OP Triangle'!L2&gt;0,'OP Triangle'!M2/'OP Triangle'!L2,"")</f>
        <v/>
      </c>
      <c r="M2" s="10">
        <f>IF('OP Triangle'!M2&gt;0,'OP Triangle'!N2/'OP Triangle'!M2,"")</f>
        <v/>
      </c>
      <c r="N2" s="10">
        <f>IF('OP Triangle'!N2&gt;0,'OP Triangle'!O2/'OP Triangle'!N2,"")</f>
        <v/>
      </c>
      <c r="O2" s="10">
        <f>IF('OP Triangle'!O2&gt;0,'OP Triangle'!P2/'OP Triangle'!O2,"")</f>
        <v/>
      </c>
      <c r="P2" s="10">
        <f>IF('OP Triangle'!P2&gt;0,'OP Triangle'!Q2/'OP Triangle'!P2,"")</f>
        <v/>
      </c>
      <c r="Q2" s="10">
        <f>IF('OP Triangle'!Q2&gt;0,'OP Triangle'!R2/'OP Triangle'!Q2,"")</f>
        <v/>
      </c>
      <c r="R2" s="10">
        <f>IF('OP Triangle'!R2&gt;0,'OP Triangle'!S2/'OP Triangle'!R2,"")</f>
        <v/>
      </c>
      <c r="S2" s="10">
        <f>IF('OP Triangle'!S2&gt;0,'OP Triangle'!T2/'OP Triangle'!S2,"")</f>
        <v/>
      </c>
      <c r="T2" s="10">
        <f>IF('OP Triangle'!T2&gt;0,'OP Triangle'!U2/'OP Triangle'!T2,"")</f>
        <v/>
      </c>
      <c r="U2" s="10">
        <f>IF('OP Triangle'!U2&gt;0,'OP Triangle'!V2/'OP Triangle'!U2,"")</f>
        <v/>
      </c>
      <c r="V2" s="10">
        <f>IF('OP Triangle'!V2&gt;0,'OP Triangle'!W2/'OP Triangle'!V2,"")</f>
        <v/>
      </c>
      <c r="W2" s="10">
        <f>IF('OP Triangle'!W2&gt;0,'OP Triangle'!X2/'OP Triangle'!W2,"")</f>
        <v/>
      </c>
      <c r="X2" s="10">
        <f>IF('OP Triangle'!X2&gt;0,'OP Triangle'!Y2/'OP Triangle'!X2,"")</f>
        <v/>
      </c>
      <c r="Y2" s="10">
        <f>IF('OP Triangle'!Y2&gt;0,'OP Triangle'!Z2/'OP Triangle'!Y2,"")</f>
        <v/>
      </c>
      <c r="Z2" s="10">
        <f>IF('OP Triangle'!Z2&gt;0,'OP Triangle'!AA2/'OP Triangle'!Z2,"")</f>
        <v/>
      </c>
      <c r="AA2" s="10">
        <f>IF('OP Triangle'!AA2&gt;0,'OP Triangle'!AB2/'OP Triangle'!AA2,"")</f>
        <v/>
      </c>
      <c r="AB2" s="10">
        <f>IF('OP Triangle'!AB2&gt;0,'OP Triangle'!AC2/'OP Triangle'!AB2,"")</f>
        <v/>
      </c>
      <c r="AC2" s="10">
        <f>IF('OP Triangle'!AC2&gt;0,'OP Triangle'!AD2/'OP Triangle'!AC2,"")</f>
        <v/>
      </c>
      <c r="AD2" s="10">
        <f>IF('OP Triangle'!AD2&gt;0,'OP Triangle'!AE2/'OP Triangle'!AD2,"")</f>
        <v/>
      </c>
      <c r="AE2" s="10">
        <f>IF('OP Triangle'!AE2&gt;0,'OP Triangle'!AF2/'OP Triangle'!AE2,"")</f>
        <v/>
      </c>
      <c r="AF2" s="10">
        <f>IF('OP Triangle'!AF2&gt;0,'OP Triangle'!AG2/'OP Triangle'!AF2,"")</f>
        <v/>
      </c>
      <c r="AG2" s="10">
        <f>IF('OP Triangle'!AG2&gt;0,'OP Triangle'!AH2/'OP Triangle'!AG2,"")</f>
        <v/>
      </c>
      <c r="AH2" s="10">
        <f>IF('OP Triangle'!AH2&gt;0,'OP Triangle'!AI2/'OP Triangle'!AH2,"")</f>
        <v/>
      </c>
      <c r="AI2" s="10">
        <f>IF('OP Triangle'!AI2&gt;0,'OP Triangle'!AJ2/'OP Triangle'!AI2,"")</f>
        <v/>
      </c>
      <c r="AJ2" s="10">
        <f>IF('OP Triangle'!AJ2&gt;0,'OP Triangle'!AK2/'OP Triangle'!AJ2,"")</f>
        <v/>
      </c>
      <c r="AK2" s="10">
        <f>IF('OP Triangle'!AK2&gt;0,'OP Triangle'!AL2/'OP Triangle'!AK2,"")</f>
        <v/>
      </c>
      <c r="AL2" s="10">
        <f>IF('OP Triangle'!AL2&gt;0,'OP Triangle'!AM2/'OP Triangle'!AL2,"")</f>
        <v/>
      </c>
      <c r="AM2" s="10">
        <f>IF('OP Triangle'!AM2&gt;0,'OP Triangle'!AN2/'OP Triangle'!AM2,"")</f>
        <v/>
      </c>
      <c r="AN2" s="10">
        <f>IF('OP Triangle'!AN2&gt;0,'OP Triangle'!AO2/'OP Triangle'!AN2,"")</f>
        <v/>
      </c>
      <c r="AO2" s="10">
        <f>IF('OP Triangle'!AO2&gt;0,'OP Triangle'!AP2/'OP Triangle'!AO2,"")</f>
        <v/>
      </c>
      <c r="AP2" s="11">
        <f>IF('OP Triangle'!AP2&gt;0,'OP Triangle'!AQ2/'OP Triangle'!AP2,"")</f>
        <v/>
      </c>
      <c r="AQ2" s="11">
        <f>IF('OP Triangle'!AQ2&gt;0,'OP Triangle'!AR2/'OP Triangle'!AQ2,"")</f>
        <v/>
      </c>
      <c r="AR2" s="10">
        <f>IF('OP Triangle'!AR2&gt;0,'OP Triangle'!AS2/'OP Triangle'!AR2,"")</f>
        <v/>
      </c>
      <c r="AS2" s="10">
        <f>IF('OP Triangle'!AS2&gt;0,'OP Triangle'!AT2/'OP Triangle'!AS2,"")</f>
        <v/>
      </c>
    </row>
    <row r="3">
      <c r="A3" s="6" t="inlineStr">
        <is>
          <t>2023-02</t>
        </is>
      </c>
      <c r="B3" s="10">
        <f>IF('OP Triangle'!B3&gt;0,'OP Triangle'!C3/'OP Triangle'!B3,"")</f>
        <v/>
      </c>
      <c r="C3" s="10">
        <f>IF('OP Triangle'!C3&gt;0,'OP Triangle'!D3/'OP Triangle'!C3,"")</f>
        <v/>
      </c>
      <c r="D3" s="10">
        <f>IF('OP Triangle'!D3&gt;0,'OP Triangle'!E3/'OP Triangle'!D3,"")</f>
        <v/>
      </c>
      <c r="E3" s="10">
        <f>IF('OP Triangle'!E3&gt;0,'OP Triangle'!F3/'OP Triangle'!E3,"")</f>
        <v/>
      </c>
      <c r="F3" s="10">
        <f>IF('OP Triangle'!F3&gt;0,'OP Triangle'!G3/'OP Triangle'!F3,"")</f>
        <v/>
      </c>
      <c r="G3" s="10">
        <f>IF('OP Triangle'!G3&gt;0,'OP Triangle'!H3/'OP Triangle'!G3,"")</f>
        <v/>
      </c>
      <c r="H3" s="10">
        <f>IF('OP Triangle'!H3&gt;0,'OP Triangle'!I3/'OP Triangle'!H3,"")</f>
        <v/>
      </c>
      <c r="I3" s="10">
        <f>IF('OP Triangle'!I3&gt;0,'OP Triangle'!J3/'OP Triangle'!I3,"")</f>
        <v/>
      </c>
      <c r="J3" s="10">
        <f>IF('OP Triangle'!J3&gt;0,'OP Triangle'!K3/'OP Triangle'!J3,"")</f>
        <v/>
      </c>
      <c r="K3" s="10">
        <f>IF('OP Triangle'!K3&gt;0,'OP Triangle'!L3/'OP Triangle'!K3,"")</f>
        <v/>
      </c>
      <c r="L3" s="10">
        <f>IF('OP Triangle'!L3&gt;0,'OP Triangle'!M3/'OP Triangle'!L3,"")</f>
        <v/>
      </c>
      <c r="M3" s="10">
        <f>IF('OP Triangle'!M3&gt;0,'OP Triangle'!N3/'OP Triangle'!M3,"")</f>
        <v/>
      </c>
      <c r="N3" s="10">
        <f>IF('OP Triangle'!N3&gt;0,'OP Triangle'!O3/'OP Triangle'!N3,"")</f>
        <v/>
      </c>
      <c r="O3" s="10">
        <f>IF('OP Triangle'!O3&gt;0,'OP Triangle'!P3/'OP Triangle'!O3,"")</f>
        <v/>
      </c>
      <c r="P3" s="10">
        <f>IF('OP Triangle'!P3&gt;0,'OP Triangle'!Q3/'OP Triangle'!P3,"")</f>
        <v/>
      </c>
      <c r="Q3" s="10">
        <f>IF('OP Triangle'!Q3&gt;0,'OP Triangle'!R3/'OP Triangle'!Q3,"")</f>
        <v/>
      </c>
      <c r="R3" s="10">
        <f>IF('OP Triangle'!R3&gt;0,'OP Triangle'!S3/'OP Triangle'!R3,"")</f>
        <v/>
      </c>
      <c r="S3" s="10">
        <f>IF('OP Triangle'!S3&gt;0,'OP Triangle'!T3/'OP Triangle'!S3,"")</f>
        <v/>
      </c>
      <c r="T3" s="10">
        <f>IF('OP Triangle'!T3&gt;0,'OP Triangle'!U3/'OP Triangle'!T3,"")</f>
        <v/>
      </c>
      <c r="U3" s="10">
        <f>IF('OP Triangle'!U3&gt;0,'OP Triangle'!V3/'OP Triangle'!U3,"")</f>
        <v/>
      </c>
      <c r="V3" s="10">
        <f>IF('OP Triangle'!V3&gt;0,'OP Triangle'!W3/'OP Triangle'!V3,"")</f>
        <v/>
      </c>
      <c r="W3" s="10">
        <f>IF('OP Triangle'!W3&gt;0,'OP Triangle'!X3/'OP Triangle'!W3,"")</f>
        <v/>
      </c>
      <c r="X3" s="10">
        <f>IF('OP Triangle'!X3&gt;0,'OP Triangle'!Y3/'OP Triangle'!X3,"")</f>
        <v/>
      </c>
      <c r="Y3" s="10">
        <f>IF('OP Triangle'!Y3&gt;0,'OP Triangle'!Z3/'OP Triangle'!Y3,"")</f>
        <v/>
      </c>
      <c r="Z3" s="10">
        <f>IF('OP Triangle'!Z3&gt;0,'OP Triangle'!AA3/'OP Triangle'!Z3,"")</f>
        <v/>
      </c>
      <c r="AA3" s="10">
        <f>IF('OP Triangle'!AA3&gt;0,'OP Triangle'!AB3/'OP Triangle'!AA3,"")</f>
        <v/>
      </c>
      <c r="AB3" s="10">
        <f>IF('OP Triangle'!AB3&gt;0,'OP Triangle'!AC3/'OP Triangle'!AB3,"")</f>
        <v/>
      </c>
      <c r="AC3" s="10">
        <f>IF('OP Triangle'!AC3&gt;0,'OP Triangle'!AD3/'OP Triangle'!AC3,"")</f>
        <v/>
      </c>
      <c r="AD3" s="10">
        <f>IF('OP Triangle'!AD3&gt;0,'OP Triangle'!AE3/'OP Triangle'!AD3,"")</f>
        <v/>
      </c>
      <c r="AE3" s="10">
        <f>IF('OP Triangle'!AE3&gt;0,'OP Triangle'!AF3/'OP Triangle'!AE3,"")</f>
        <v/>
      </c>
      <c r="AF3" s="10">
        <f>IF('OP Triangle'!AF3&gt;0,'OP Triangle'!AG3/'OP Triangle'!AF3,"")</f>
        <v/>
      </c>
      <c r="AG3" s="10">
        <f>IF('OP Triangle'!AG3&gt;0,'OP Triangle'!AH3/'OP Triangle'!AG3,"")</f>
        <v/>
      </c>
      <c r="AH3" s="10">
        <f>IF('OP Triangle'!AH3&gt;0,'OP Triangle'!AI3/'OP Triangle'!AH3,"")</f>
        <v/>
      </c>
      <c r="AI3" s="10">
        <f>IF('OP Triangle'!AI3&gt;0,'OP Triangle'!AJ3/'OP Triangle'!AI3,"")</f>
        <v/>
      </c>
      <c r="AJ3" s="10">
        <f>IF('OP Triangle'!AJ3&gt;0,'OP Triangle'!AK3/'OP Triangle'!AJ3,"")</f>
        <v/>
      </c>
      <c r="AK3" s="10">
        <f>IF('OP Triangle'!AK3&gt;0,'OP Triangle'!AL3/'OP Triangle'!AK3,"")</f>
        <v/>
      </c>
      <c r="AL3" s="10">
        <f>IF('OP Triangle'!AL3&gt;0,'OP Triangle'!AM3/'OP Triangle'!AL3,"")</f>
        <v/>
      </c>
      <c r="AM3" s="10">
        <f>IF('OP Triangle'!AM3&gt;0,'OP Triangle'!AN3/'OP Triangle'!AM3,"")</f>
        <v/>
      </c>
      <c r="AN3" s="10">
        <f>IF('OP Triangle'!AN3&gt;0,'OP Triangle'!AO3/'OP Triangle'!AN3,"")</f>
        <v/>
      </c>
      <c r="AO3" s="11">
        <f>IF('OP Triangle'!AO3&gt;0,'OP Triangle'!AP3/'OP Triangle'!AO3,"")</f>
        <v/>
      </c>
      <c r="AP3" s="11">
        <f>IF('OP Triangle'!AP3&gt;0,'OP Triangle'!AQ3/'OP Triangle'!AP3,"")</f>
        <v/>
      </c>
      <c r="AQ3" s="10">
        <f>IF('OP Triangle'!AQ3&gt;0,'OP Triangle'!AR3/'OP Triangle'!AQ3,"")</f>
        <v/>
      </c>
      <c r="AR3" s="10">
        <f>IF('OP Triangle'!AR3&gt;0,'OP Triangle'!AS3/'OP Triangle'!AR3,"")</f>
        <v/>
      </c>
    </row>
    <row r="4">
      <c r="A4" s="6" t="inlineStr">
        <is>
          <t>2023-03</t>
        </is>
      </c>
      <c r="B4" s="10">
        <f>IF('OP Triangle'!B4&gt;0,'OP Triangle'!C4/'OP Triangle'!B4,"")</f>
        <v/>
      </c>
      <c r="C4" s="10">
        <f>IF('OP Triangle'!C4&gt;0,'OP Triangle'!D4/'OP Triangle'!C4,"")</f>
        <v/>
      </c>
      <c r="D4" s="10">
        <f>IF('OP Triangle'!D4&gt;0,'OP Triangle'!E4/'OP Triangle'!D4,"")</f>
        <v/>
      </c>
      <c r="E4" s="10">
        <f>IF('OP Triangle'!E4&gt;0,'OP Triangle'!F4/'OP Triangle'!E4,"")</f>
        <v/>
      </c>
      <c r="F4" s="10">
        <f>IF('OP Triangle'!F4&gt;0,'OP Triangle'!G4/'OP Triangle'!F4,"")</f>
        <v/>
      </c>
      <c r="G4" s="10">
        <f>IF('OP Triangle'!G4&gt;0,'OP Triangle'!H4/'OP Triangle'!G4,"")</f>
        <v/>
      </c>
      <c r="H4" s="10">
        <f>IF('OP Triangle'!H4&gt;0,'OP Triangle'!I4/'OP Triangle'!H4,"")</f>
        <v/>
      </c>
      <c r="I4" s="10">
        <f>IF('OP Triangle'!I4&gt;0,'OP Triangle'!J4/'OP Triangle'!I4,"")</f>
        <v/>
      </c>
      <c r="J4" s="10">
        <f>IF('OP Triangle'!J4&gt;0,'OP Triangle'!K4/'OP Triangle'!J4,"")</f>
        <v/>
      </c>
      <c r="K4" s="10">
        <f>IF('OP Triangle'!K4&gt;0,'OP Triangle'!L4/'OP Triangle'!K4,"")</f>
        <v/>
      </c>
      <c r="L4" s="10">
        <f>IF('OP Triangle'!L4&gt;0,'OP Triangle'!M4/'OP Triangle'!L4,"")</f>
        <v/>
      </c>
      <c r="M4" s="10">
        <f>IF('OP Triangle'!M4&gt;0,'OP Triangle'!N4/'OP Triangle'!M4,"")</f>
        <v/>
      </c>
      <c r="N4" s="10">
        <f>IF('OP Triangle'!N4&gt;0,'OP Triangle'!O4/'OP Triangle'!N4,"")</f>
        <v/>
      </c>
      <c r="O4" s="10">
        <f>IF('OP Triangle'!O4&gt;0,'OP Triangle'!P4/'OP Triangle'!O4,"")</f>
        <v/>
      </c>
      <c r="P4" s="10">
        <f>IF('OP Triangle'!P4&gt;0,'OP Triangle'!Q4/'OP Triangle'!P4,"")</f>
        <v/>
      </c>
      <c r="Q4" s="10">
        <f>IF('OP Triangle'!Q4&gt;0,'OP Triangle'!R4/'OP Triangle'!Q4,"")</f>
        <v/>
      </c>
      <c r="R4" s="10">
        <f>IF('OP Triangle'!R4&gt;0,'OP Triangle'!S4/'OP Triangle'!R4,"")</f>
        <v/>
      </c>
      <c r="S4" s="10">
        <f>IF('OP Triangle'!S4&gt;0,'OP Triangle'!T4/'OP Triangle'!S4,"")</f>
        <v/>
      </c>
      <c r="T4" s="10">
        <f>IF('OP Triangle'!T4&gt;0,'OP Triangle'!U4/'OP Triangle'!T4,"")</f>
        <v/>
      </c>
      <c r="U4" s="10">
        <f>IF('OP Triangle'!U4&gt;0,'OP Triangle'!V4/'OP Triangle'!U4,"")</f>
        <v/>
      </c>
      <c r="V4" s="10">
        <f>IF('OP Triangle'!V4&gt;0,'OP Triangle'!W4/'OP Triangle'!V4,"")</f>
        <v/>
      </c>
      <c r="W4" s="10">
        <f>IF('OP Triangle'!W4&gt;0,'OP Triangle'!X4/'OP Triangle'!W4,"")</f>
        <v/>
      </c>
      <c r="X4" s="10">
        <f>IF('OP Triangle'!X4&gt;0,'OP Triangle'!Y4/'OP Triangle'!X4,"")</f>
        <v/>
      </c>
      <c r="Y4" s="10">
        <f>IF('OP Triangle'!Y4&gt;0,'OP Triangle'!Z4/'OP Triangle'!Y4,"")</f>
        <v/>
      </c>
      <c r="Z4" s="10">
        <f>IF('OP Triangle'!Z4&gt;0,'OP Triangle'!AA4/'OP Triangle'!Z4,"")</f>
        <v/>
      </c>
      <c r="AA4" s="10">
        <f>IF('OP Triangle'!AA4&gt;0,'OP Triangle'!AB4/'OP Triangle'!AA4,"")</f>
        <v/>
      </c>
      <c r="AB4" s="10">
        <f>IF('OP Triangle'!AB4&gt;0,'OP Triangle'!AC4/'OP Triangle'!AB4,"")</f>
        <v/>
      </c>
      <c r="AC4" s="10">
        <f>IF('OP Triangle'!AC4&gt;0,'OP Triangle'!AD4/'OP Triangle'!AC4,"")</f>
        <v/>
      </c>
      <c r="AD4" s="10">
        <f>IF('OP Triangle'!AD4&gt;0,'OP Triangle'!AE4/'OP Triangle'!AD4,"")</f>
        <v/>
      </c>
      <c r="AE4" s="10">
        <f>IF('OP Triangle'!AE4&gt;0,'OP Triangle'!AF4/'OP Triangle'!AE4,"")</f>
        <v/>
      </c>
      <c r="AF4" s="10">
        <f>IF('OP Triangle'!AF4&gt;0,'OP Triangle'!AG4/'OP Triangle'!AF4,"")</f>
        <v/>
      </c>
      <c r="AG4" s="10">
        <f>IF('OP Triangle'!AG4&gt;0,'OP Triangle'!AH4/'OP Triangle'!AG4,"")</f>
        <v/>
      </c>
      <c r="AH4" s="10">
        <f>IF('OP Triangle'!AH4&gt;0,'OP Triangle'!AI4/'OP Triangle'!AH4,"")</f>
        <v/>
      </c>
      <c r="AI4" s="10">
        <f>IF('OP Triangle'!AI4&gt;0,'OP Triangle'!AJ4/'OP Triangle'!AI4,"")</f>
        <v/>
      </c>
      <c r="AJ4" s="10">
        <f>IF('OP Triangle'!AJ4&gt;0,'OP Triangle'!AK4/'OP Triangle'!AJ4,"")</f>
        <v/>
      </c>
      <c r="AK4" s="10">
        <f>IF('OP Triangle'!AK4&gt;0,'OP Triangle'!AL4/'OP Triangle'!AK4,"")</f>
        <v/>
      </c>
      <c r="AL4" s="10">
        <f>IF('OP Triangle'!AL4&gt;0,'OP Triangle'!AM4/'OP Triangle'!AL4,"")</f>
        <v/>
      </c>
      <c r="AM4" s="10">
        <f>IF('OP Triangle'!AM4&gt;0,'OP Triangle'!AN4/'OP Triangle'!AM4,"")</f>
        <v/>
      </c>
      <c r="AN4" s="11">
        <f>IF('OP Triangle'!AN4&gt;0,'OP Triangle'!AO4/'OP Triangle'!AN4,"")</f>
        <v/>
      </c>
      <c r="AO4" s="11">
        <f>IF('OP Triangle'!AO4&gt;0,'OP Triangle'!AP4/'OP Triangle'!AO4,"")</f>
        <v/>
      </c>
      <c r="AP4" s="10">
        <f>IF('OP Triangle'!AP4&gt;0,'OP Triangle'!AQ4/'OP Triangle'!AP4,"")</f>
        <v/>
      </c>
      <c r="AQ4" s="10">
        <f>IF('OP Triangle'!AQ4&gt;0,'OP Triangle'!AR4/'OP Triangle'!AQ4,"")</f>
        <v/>
      </c>
    </row>
    <row r="5">
      <c r="A5" s="6" t="inlineStr">
        <is>
          <t>2023-04</t>
        </is>
      </c>
      <c r="B5" s="10">
        <f>IF('OP Triangle'!B5&gt;0,'OP Triangle'!C5/'OP Triangle'!B5,"")</f>
        <v/>
      </c>
      <c r="C5" s="10">
        <f>IF('OP Triangle'!C5&gt;0,'OP Triangle'!D5/'OP Triangle'!C5,"")</f>
        <v/>
      </c>
      <c r="D5" s="10">
        <f>IF('OP Triangle'!D5&gt;0,'OP Triangle'!E5/'OP Triangle'!D5,"")</f>
        <v/>
      </c>
      <c r="E5" s="10">
        <f>IF('OP Triangle'!E5&gt;0,'OP Triangle'!F5/'OP Triangle'!E5,"")</f>
        <v/>
      </c>
      <c r="F5" s="10">
        <f>IF('OP Triangle'!F5&gt;0,'OP Triangle'!G5/'OP Triangle'!F5,"")</f>
        <v/>
      </c>
      <c r="G5" s="10">
        <f>IF('OP Triangle'!G5&gt;0,'OP Triangle'!H5/'OP Triangle'!G5,"")</f>
        <v/>
      </c>
      <c r="H5" s="10">
        <f>IF('OP Triangle'!H5&gt;0,'OP Triangle'!I5/'OP Triangle'!H5,"")</f>
        <v/>
      </c>
      <c r="I5" s="10">
        <f>IF('OP Triangle'!I5&gt;0,'OP Triangle'!J5/'OP Triangle'!I5,"")</f>
        <v/>
      </c>
      <c r="J5" s="10">
        <f>IF('OP Triangle'!J5&gt;0,'OP Triangle'!K5/'OP Triangle'!J5,"")</f>
        <v/>
      </c>
      <c r="K5" s="10">
        <f>IF('OP Triangle'!K5&gt;0,'OP Triangle'!L5/'OP Triangle'!K5,"")</f>
        <v/>
      </c>
      <c r="L5" s="10">
        <f>IF('OP Triangle'!L5&gt;0,'OP Triangle'!M5/'OP Triangle'!L5,"")</f>
        <v/>
      </c>
      <c r="M5" s="10">
        <f>IF('OP Triangle'!M5&gt;0,'OP Triangle'!N5/'OP Triangle'!M5,"")</f>
        <v/>
      </c>
      <c r="N5" s="10">
        <f>IF('OP Triangle'!N5&gt;0,'OP Triangle'!O5/'OP Triangle'!N5,"")</f>
        <v/>
      </c>
      <c r="O5" s="10">
        <f>IF('OP Triangle'!O5&gt;0,'OP Triangle'!P5/'OP Triangle'!O5,"")</f>
        <v/>
      </c>
      <c r="P5" s="10">
        <f>IF('OP Triangle'!P5&gt;0,'OP Triangle'!Q5/'OP Triangle'!P5,"")</f>
        <v/>
      </c>
      <c r="Q5" s="10">
        <f>IF('OP Triangle'!Q5&gt;0,'OP Triangle'!R5/'OP Triangle'!Q5,"")</f>
        <v/>
      </c>
      <c r="R5" s="10">
        <f>IF('OP Triangle'!R5&gt;0,'OP Triangle'!S5/'OP Triangle'!R5,"")</f>
        <v/>
      </c>
      <c r="S5" s="10">
        <f>IF('OP Triangle'!S5&gt;0,'OP Triangle'!T5/'OP Triangle'!S5,"")</f>
        <v/>
      </c>
      <c r="T5" s="10">
        <f>IF('OP Triangle'!T5&gt;0,'OP Triangle'!U5/'OP Triangle'!T5,"")</f>
        <v/>
      </c>
      <c r="U5" s="10">
        <f>IF('OP Triangle'!U5&gt;0,'OP Triangle'!V5/'OP Triangle'!U5,"")</f>
        <v/>
      </c>
      <c r="V5" s="10">
        <f>IF('OP Triangle'!V5&gt;0,'OP Triangle'!W5/'OP Triangle'!V5,"")</f>
        <v/>
      </c>
      <c r="W5" s="10">
        <f>IF('OP Triangle'!W5&gt;0,'OP Triangle'!X5/'OP Triangle'!W5,"")</f>
        <v/>
      </c>
      <c r="X5" s="10">
        <f>IF('OP Triangle'!X5&gt;0,'OP Triangle'!Y5/'OP Triangle'!X5,"")</f>
        <v/>
      </c>
      <c r="Y5" s="10">
        <f>IF('OP Triangle'!Y5&gt;0,'OP Triangle'!Z5/'OP Triangle'!Y5,"")</f>
        <v/>
      </c>
      <c r="Z5" s="10">
        <f>IF('OP Triangle'!Z5&gt;0,'OP Triangle'!AA5/'OP Triangle'!Z5,"")</f>
        <v/>
      </c>
      <c r="AA5" s="10">
        <f>IF('OP Triangle'!AA5&gt;0,'OP Triangle'!AB5/'OP Triangle'!AA5,"")</f>
        <v/>
      </c>
      <c r="AB5" s="10">
        <f>IF('OP Triangle'!AB5&gt;0,'OP Triangle'!AC5/'OP Triangle'!AB5,"")</f>
        <v/>
      </c>
      <c r="AC5" s="10">
        <f>IF('OP Triangle'!AC5&gt;0,'OP Triangle'!AD5/'OP Triangle'!AC5,"")</f>
        <v/>
      </c>
      <c r="AD5" s="10">
        <f>IF('OP Triangle'!AD5&gt;0,'OP Triangle'!AE5/'OP Triangle'!AD5,"")</f>
        <v/>
      </c>
      <c r="AE5" s="10">
        <f>IF('OP Triangle'!AE5&gt;0,'OP Triangle'!AF5/'OP Triangle'!AE5,"")</f>
        <v/>
      </c>
      <c r="AF5" s="10">
        <f>IF('OP Triangle'!AF5&gt;0,'OP Triangle'!AG5/'OP Triangle'!AF5,"")</f>
        <v/>
      </c>
      <c r="AG5" s="10">
        <f>IF('OP Triangle'!AG5&gt;0,'OP Triangle'!AH5/'OP Triangle'!AG5,"")</f>
        <v/>
      </c>
      <c r="AH5" s="10">
        <f>IF('OP Triangle'!AH5&gt;0,'OP Triangle'!AI5/'OP Triangle'!AH5,"")</f>
        <v/>
      </c>
      <c r="AI5" s="10">
        <f>IF('OP Triangle'!AI5&gt;0,'OP Triangle'!AJ5/'OP Triangle'!AI5,"")</f>
        <v/>
      </c>
      <c r="AJ5" s="10">
        <f>IF('OP Triangle'!AJ5&gt;0,'OP Triangle'!AK5/'OP Triangle'!AJ5,"")</f>
        <v/>
      </c>
      <c r="AK5" s="10">
        <f>IF('OP Triangle'!AK5&gt;0,'OP Triangle'!AL5/'OP Triangle'!AK5,"")</f>
        <v/>
      </c>
      <c r="AL5" s="10">
        <f>IF('OP Triangle'!AL5&gt;0,'OP Triangle'!AM5/'OP Triangle'!AL5,"")</f>
        <v/>
      </c>
      <c r="AM5" s="11">
        <f>IF('OP Triangle'!AM5&gt;0,'OP Triangle'!AN5/'OP Triangle'!AM5,"")</f>
        <v/>
      </c>
      <c r="AN5" s="11">
        <f>IF('OP Triangle'!AN5&gt;0,'OP Triangle'!AO5/'OP Triangle'!AN5,"")</f>
        <v/>
      </c>
      <c r="AO5" s="10">
        <f>IF('OP Triangle'!AO5&gt;0,'OP Triangle'!AP5/'OP Triangle'!AO5,"")</f>
        <v/>
      </c>
      <c r="AP5" s="10">
        <f>IF('OP Triangle'!AP5&gt;0,'OP Triangle'!AQ5/'OP Triangle'!AP5,"")</f>
        <v/>
      </c>
    </row>
    <row r="6">
      <c r="A6" s="6" t="inlineStr">
        <is>
          <t>2023-05</t>
        </is>
      </c>
      <c r="B6" s="10">
        <f>IF('OP Triangle'!B6&gt;0,'OP Triangle'!C6/'OP Triangle'!B6,"")</f>
        <v/>
      </c>
      <c r="C6" s="10">
        <f>IF('OP Triangle'!C6&gt;0,'OP Triangle'!D6/'OP Triangle'!C6,"")</f>
        <v/>
      </c>
      <c r="D6" s="10">
        <f>IF('OP Triangle'!D6&gt;0,'OP Triangle'!E6/'OP Triangle'!D6,"")</f>
        <v/>
      </c>
      <c r="E6" s="10">
        <f>IF('OP Triangle'!E6&gt;0,'OP Triangle'!F6/'OP Triangle'!E6,"")</f>
        <v/>
      </c>
      <c r="F6" s="10">
        <f>IF('OP Triangle'!F6&gt;0,'OP Triangle'!G6/'OP Triangle'!F6,"")</f>
        <v/>
      </c>
      <c r="G6" s="10">
        <f>IF('OP Triangle'!G6&gt;0,'OP Triangle'!H6/'OP Triangle'!G6,"")</f>
        <v/>
      </c>
      <c r="H6" s="10">
        <f>IF('OP Triangle'!H6&gt;0,'OP Triangle'!I6/'OP Triangle'!H6,"")</f>
        <v/>
      </c>
      <c r="I6" s="10">
        <f>IF('OP Triangle'!I6&gt;0,'OP Triangle'!J6/'OP Triangle'!I6,"")</f>
        <v/>
      </c>
      <c r="J6" s="10">
        <f>IF('OP Triangle'!J6&gt;0,'OP Triangle'!K6/'OP Triangle'!J6,"")</f>
        <v/>
      </c>
      <c r="K6" s="10">
        <f>IF('OP Triangle'!K6&gt;0,'OP Triangle'!L6/'OP Triangle'!K6,"")</f>
        <v/>
      </c>
      <c r="L6" s="10">
        <f>IF('OP Triangle'!L6&gt;0,'OP Triangle'!M6/'OP Triangle'!L6,"")</f>
        <v/>
      </c>
      <c r="M6" s="10">
        <f>IF('OP Triangle'!M6&gt;0,'OP Triangle'!N6/'OP Triangle'!M6,"")</f>
        <v/>
      </c>
      <c r="N6" s="10">
        <f>IF('OP Triangle'!N6&gt;0,'OP Triangle'!O6/'OP Triangle'!N6,"")</f>
        <v/>
      </c>
      <c r="O6" s="10">
        <f>IF('OP Triangle'!O6&gt;0,'OP Triangle'!P6/'OP Triangle'!O6,"")</f>
        <v/>
      </c>
      <c r="P6" s="10">
        <f>IF('OP Triangle'!P6&gt;0,'OP Triangle'!Q6/'OP Triangle'!P6,"")</f>
        <v/>
      </c>
      <c r="Q6" s="10">
        <f>IF('OP Triangle'!Q6&gt;0,'OP Triangle'!R6/'OP Triangle'!Q6,"")</f>
        <v/>
      </c>
      <c r="R6" s="10">
        <f>IF('OP Triangle'!R6&gt;0,'OP Triangle'!S6/'OP Triangle'!R6,"")</f>
        <v/>
      </c>
      <c r="S6" s="10">
        <f>IF('OP Triangle'!S6&gt;0,'OP Triangle'!T6/'OP Triangle'!S6,"")</f>
        <v/>
      </c>
      <c r="T6" s="10">
        <f>IF('OP Triangle'!T6&gt;0,'OP Triangle'!U6/'OP Triangle'!T6,"")</f>
        <v/>
      </c>
      <c r="U6" s="10">
        <f>IF('OP Triangle'!U6&gt;0,'OP Triangle'!V6/'OP Triangle'!U6,"")</f>
        <v/>
      </c>
      <c r="V6" s="10">
        <f>IF('OP Triangle'!V6&gt;0,'OP Triangle'!W6/'OP Triangle'!V6,"")</f>
        <v/>
      </c>
      <c r="W6" s="10">
        <f>IF('OP Triangle'!W6&gt;0,'OP Triangle'!X6/'OP Triangle'!W6,"")</f>
        <v/>
      </c>
      <c r="X6" s="10">
        <f>IF('OP Triangle'!X6&gt;0,'OP Triangle'!Y6/'OP Triangle'!X6,"")</f>
        <v/>
      </c>
      <c r="Y6" s="10">
        <f>IF('OP Triangle'!Y6&gt;0,'OP Triangle'!Z6/'OP Triangle'!Y6,"")</f>
        <v/>
      </c>
      <c r="Z6" s="10">
        <f>IF('OP Triangle'!Z6&gt;0,'OP Triangle'!AA6/'OP Triangle'!Z6,"")</f>
        <v/>
      </c>
      <c r="AA6" s="10">
        <f>IF('OP Triangle'!AA6&gt;0,'OP Triangle'!AB6/'OP Triangle'!AA6,"")</f>
        <v/>
      </c>
      <c r="AB6" s="10">
        <f>IF('OP Triangle'!AB6&gt;0,'OP Triangle'!AC6/'OP Triangle'!AB6,"")</f>
        <v/>
      </c>
      <c r="AC6" s="10">
        <f>IF('OP Triangle'!AC6&gt;0,'OP Triangle'!AD6/'OP Triangle'!AC6,"")</f>
        <v/>
      </c>
      <c r="AD6" s="10">
        <f>IF('OP Triangle'!AD6&gt;0,'OP Triangle'!AE6/'OP Triangle'!AD6,"")</f>
        <v/>
      </c>
      <c r="AE6" s="10">
        <f>IF('OP Triangle'!AE6&gt;0,'OP Triangle'!AF6/'OP Triangle'!AE6,"")</f>
        <v/>
      </c>
      <c r="AF6" s="10">
        <f>IF('OP Triangle'!AF6&gt;0,'OP Triangle'!AG6/'OP Triangle'!AF6,"")</f>
        <v/>
      </c>
      <c r="AG6" s="10">
        <f>IF('OP Triangle'!AG6&gt;0,'OP Triangle'!AH6/'OP Triangle'!AG6,"")</f>
        <v/>
      </c>
      <c r="AH6" s="10">
        <f>IF('OP Triangle'!AH6&gt;0,'OP Triangle'!AI6/'OP Triangle'!AH6,"")</f>
        <v/>
      </c>
      <c r="AI6" s="10">
        <f>IF('OP Triangle'!AI6&gt;0,'OP Triangle'!AJ6/'OP Triangle'!AI6,"")</f>
        <v/>
      </c>
      <c r="AJ6" s="10">
        <f>IF('OP Triangle'!AJ6&gt;0,'OP Triangle'!AK6/'OP Triangle'!AJ6,"")</f>
        <v/>
      </c>
      <c r="AK6" s="10">
        <f>IF('OP Triangle'!AK6&gt;0,'OP Triangle'!AL6/'OP Triangle'!AK6,"")</f>
        <v/>
      </c>
      <c r="AL6" s="11">
        <f>IF('OP Triangle'!AL6&gt;0,'OP Triangle'!AM6/'OP Triangle'!AL6,"")</f>
        <v/>
      </c>
      <c r="AM6" s="11">
        <f>IF('OP Triangle'!AM6&gt;0,'OP Triangle'!AN6/'OP Triangle'!AM6,"")</f>
        <v/>
      </c>
      <c r="AN6" s="10">
        <f>IF('OP Triangle'!AN6&gt;0,'OP Triangle'!AO6/'OP Triangle'!AN6,"")</f>
        <v/>
      </c>
      <c r="AO6" s="10">
        <f>IF('OP Triangle'!AO6&gt;0,'OP Triangle'!AP6/'OP Triangle'!AO6,"")</f>
        <v/>
      </c>
    </row>
    <row r="7">
      <c r="A7" s="6" t="inlineStr">
        <is>
          <t>2023-06</t>
        </is>
      </c>
      <c r="B7" s="10">
        <f>IF('OP Triangle'!B7&gt;0,'OP Triangle'!C7/'OP Triangle'!B7,"")</f>
        <v/>
      </c>
      <c r="C7" s="10">
        <f>IF('OP Triangle'!C7&gt;0,'OP Triangle'!D7/'OP Triangle'!C7,"")</f>
        <v/>
      </c>
      <c r="D7" s="10">
        <f>IF('OP Triangle'!D7&gt;0,'OP Triangle'!E7/'OP Triangle'!D7,"")</f>
        <v/>
      </c>
      <c r="E7" s="10">
        <f>IF('OP Triangle'!E7&gt;0,'OP Triangle'!F7/'OP Triangle'!E7,"")</f>
        <v/>
      </c>
      <c r="F7" s="10">
        <f>IF('OP Triangle'!F7&gt;0,'OP Triangle'!G7/'OP Triangle'!F7,"")</f>
        <v/>
      </c>
      <c r="G7" s="10">
        <f>IF('OP Triangle'!G7&gt;0,'OP Triangle'!H7/'OP Triangle'!G7,"")</f>
        <v/>
      </c>
      <c r="H7" s="10">
        <f>IF('OP Triangle'!H7&gt;0,'OP Triangle'!I7/'OP Triangle'!H7,"")</f>
        <v/>
      </c>
      <c r="I7" s="10">
        <f>IF('OP Triangle'!I7&gt;0,'OP Triangle'!J7/'OP Triangle'!I7,"")</f>
        <v/>
      </c>
      <c r="J7" s="10">
        <f>IF('OP Triangle'!J7&gt;0,'OP Triangle'!K7/'OP Triangle'!J7,"")</f>
        <v/>
      </c>
      <c r="K7" s="10">
        <f>IF('OP Triangle'!K7&gt;0,'OP Triangle'!L7/'OP Triangle'!K7,"")</f>
        <v/>
      </c>
      <c r="L7" s="10">
        <f>IF('OP Triangle'!L7&gt;0,'OP Triangle'!M7/'OP Triangle'!L7,"")</f>
        <v/>
      </c>
      <c r="M7" s="10">
        <f>IF('OP Triangle'!M7&gt;0,'OP Triangle'!N7/'OP Triangle'!M7,"")</f>
        <v/>
      </c>
      <c r="N7" s="10">
        <f>IF('OP Triangle'!N7&gt;0,'OP Triangle'!O7/'OP Triangle'!N7,"")</f>
        <v/>
      </c>
      <c r="O7" s="10">
        <f>IF('OP Triangle'!O7&gt;0,'OP Triangle'!P7/'OP Triangle'!O7,"")</f>
        <v/>
      </c>
      <c r="P7" s="10">
        <f>IF('OP Triangle'!P7&gt;0,'OP Triangle'!Q7/'OP Triangle'!P7,"")</f>
        <v/>
      </c>
      <c r="Q7" s="10">
        <f>IF('OP Triangle'!Q7&gt;0,'OP Triangle'!R7/'OP Triangle'!Q7,"")</f>
        <v/>
      </c>
      <c r="R7" s="10">
        <f>IF('OP Triangle'!R7&gt;0,'OP Triangle'!S7/'OP Triangle'!R7,"")</f>
        <v/>
      </c>
      <c r="S7" s="10">
        <f>IF('OP Triangle'!S7&gt;0,'OP Triangle'!T7/'OP Triangle'!S7,"")</f>
        <v/>
      </c>
      <c r="T7" s="10">
        <f>IF('OP Triangle'!T7&gt;0,'OP Triangle'!U7/'OP Triangle'!T7,"")</f>
        <v/>
      </c>
      <c r="U7" s="10">
        <f>IF('OP Triangle'!U7&gt;0,'OP Triangle'!V7/'OP Triangle'!U7,"")</f>
        <v/>
      </c>
      <c r="V7" s="10">
        <f>IF('OP Triangle'!V7&gt;0,'OP Triangle'!W7/'OP Triangle'!V7,"")</f>
        <v/>
      </c>
      <c r="W7" s="10">
        <f>IF('OP Triangle'!W7&gt;0,'OP Triangle'!X7/'OP Triangle'!W7,"")</f>
        <v/>
      </c>
      <c r="X7" s="10">
        <f>IF('OP Triangle'!X7&gt;0,'OP Triangle'!Y7/'OP Triangle'!X7,"")</f>
        <v/>
      </c>
      <c r="Y7" s="10">
        <f>IF('OP Triangle'!Y7&gt;0,'OP Triangle'!Z7/'OP Triangle'!Y7,"")</f>
        <v/>
      </c>
      <c r="Z7" s="10">
        <f>IF('OP Triangle'!Z7&gt;0,'OP Triangle'!AA7/'OP Triangle'!Z7,"")</f>
        <v/>
      </c>
      <c r="AA7" s="10">
        <f>IF('OP Triangle'!AA7&gt;0,'OP Triangle'!AB7/'OP Triangle'!AA7,"")</f>
        <v/>
      </c>
      <c r="AB7" s="10">
        <f>IF('OP Triangle'!AB7&gt;0,'OP Triangle'!AC7/'OP Triangle'!AB7,"")</f>
        <v/>
      </c>
      <c r="AC7" s="10">
        <f>IF('OP Triangle'!AC7&gt;0,'OP Triangle'!AD7/'OP Triangle'!AC7,"")</f>
        <v/>
      </c>
      <c r="AD7" s="10">
        <f>IF('OP Triangle'!AD7&gt;0,'OP Triangle'!AE7/'OP Triangle'!AD7,"")</f>
        <v/>
      </c>
      <c r="AE7" s="10">
        <f>IF('OP Triangle'!AE7&gt;0,'OP Triangle'!AF7/'OP Triangle'!AE7,"")</f>
        <v/>
      </c>
      <c r="AF7" s="10">
        <f>IF('OP Triangle'!AF7&gt;0,'OP Triangle'!AG7/'OP Triangle'!AF7,"")</f>
        <v/>
      </c>
      <c r="AG7" s="10">
        <f>IF('OP Triangle'!AG7&gt;0,'OP Triangle'!AH7/'OP Triangle'!AG7,"")</f>
        <v/>
      </c>
      <c r="AH7" s="10">
        <f>IF('OP Triangle'!AH7&gt;0,'OP Triangle'!AI7/'OP Triangle'!AH7,"")</f>
        <v/>
      </c>
      <c r="AI7" s="10">
        <f>IF('OP Triangle'!AI7&gt;0,'OP Triangle'!AJ7/'OP Triangle'!AI7,"")</f>
        <v/>
      </c>
      <c r="AJ7" s="10">
        <f>IF('OP Triangle'!AJ7&gt;0,'OP Triangle'!AK7/'OP Triangle'!AJ7,"")</f>
        <v/>
      </c>
      <c r="AK7" s="11">
        <f>IF('OP Triangle'!AK7&gt;0,'OP Triangle'!AL7/'OP Triangle'!AK7,"")</f>
        <v/>
      </c>
      <c r="AL7" s="11">
        <f>IF('OP Triangle'!AL7&gt;0,'OP Triangle'!AM7/'OP Triangle'!AL7,"")</f>
        <v/>
      </c>
      <c r="AM7" s="10">
        <f>IF('OP Triangle'!AM7&gt;0,'OP Triangle'!AN7/'OP Triangle'!AM7,"")</f>
        <v/>
      </c>
      <c r="AN7" s="10">
        <f>IF('OP Triangle'!AN7&gt;0,'OP Triangle'!AO7/'OP Triangle'!AN7,"")</f>
        <v/>
      </c>
    </row>
    <row r="8">
      <c r="A8" s="6" t="inlineStr">
        <is>
          <t>2023-07</t>
        </is>
      </c>
      <c r="B8" s="10">
        <f>IF('OP Triangle'!B8&gt;0,'OP Triangle'!C8/'OP Triangle'!B8,"")</f>
        <v/>
      </c>
      <c r="C8" s="10">
        <f>IF('OP Triangle'!C8&gt;0,'OP Triangle'!D8/'OP Triangle'!C8,"")</f>
        <v/>
      </c>
      <c r="D8" s="10">
        <f>IF('OP Triangle'!D8&gt;0,'OP Triangle'!E8/'OP Triangle'!D8,"")</f>
        <v/>
      </c>
      <c r="E8" s="10">
        <f>IF('OP Triangle'!E8&gt;0,'OP Triangle'!F8/'OP Triangle'!E8,"")</f>
        <v/>
      </c>
      <c r="F8" s="10">
        <f>IF('OP Triangle'!F8&gt;0,'OP Triangle'!G8/'OP Triangle'!F8,"")</f>
        <v/>
      </c>
      <c r="G8" s="10">
        <f>IF('OP Triangle'!G8&gt;0,'OP Triangle'!H8/'OP Triangle'!G8,"")</f>
        <v/>
      </c>
      <c r="H8" s="10">
        <f>IF('OP Triangle'!H8&gt;0,'OP Triangle'!I8/'OP Triangle'!H8,"")</f>
        <v/>
      </c>
      <c r="I8" s="10">
        <f>IF('OP Triangle'!I8&gt;0,'OP Triangle'!J8/'OP Triangle'!I8,"")</f>
        <v/>
      </c>
      <c r="J8" s="10">
        <f>IF('OP Triangle'!J8&gt;0,'OP Triangle'!K8/'OP Triangle'!J8,"")</f>
        <v/>
      </c>
      <c r="K8" s="10">
        <f>IF('OP Triangle'!K8&gt;0,'OP Triangle'!L8/'OP Triangle'!K8,"")</f>
        <v/>
      </c>
      <c r="L8" s="10">
        <f>IF('OP Triangle'!L8&gt;0,'OP Triangle'!M8/'OP Triangle'!L8,"")</f>
        <v/>
      </c>
      <c r="M8" s="10">
        <f>IF('OP Triangle'!M8&gt;0,'OP Triangle'!N8/'OP Triangle'!M8,"")</f>
        <v/>
      </c>
      <c r="N8" s="10">
        <f>IF('OP Triangle'!N8&gt;0,'OP Triangle'!O8/'OP Triangle'!N8,"")</f>
        <v/>
      </c>
      <c r="O8" s="10">
        <f>IF('OP Triangle'!O8&gt;0,'OP Triangle'!P8/'OP Triangle'!O8,"")</f>
        <v/>
      </c>
      <c r="P8" s="10">
        <f>IF('OP Triangle'!P8&gt;0,'OP Triangle'!Q8/'OP Triangle'!P8,"")</f>
        <v/>
      </c>
      <c r="Q8" s="10">
        <f>IF('OP Triangle'!Q8&gt;0,'OP Triangle'!R8/'OP Triangle'!Q8,"")</f>
        <v/>
      </c>
      <c r="R8" s="10">
        <f>IF('OP Triangle'!R8&gt;0,'OP Triangle'!S8/'OP Triangle'!R8,"")</f>
        <v/>
      </c>
      <c r="S8" s="10">
        <f>IF('OP Triangle'!S8&gt;0,'OP Triangle'!T8/'OP Triangle'!S8,"")</f>
        <v/>
      </c>
      <c r="T8" s="10">
        <f>IF('OP Triangle'!T8&gt;0,'OP Triangle'!U8/'OP Triangle'!T8,"")</f>
        <v/>
      </c>
      <c r="U8" s="10">
        <f>IF('OP Triangle'!U8&gt;0,'OP Triangle'!V8/'OP Triangle'!U8,"")</f>
        <v/>
      </c>
      <c r="V8" s="10">
        <f>IF('OP Triangle'!V8&gt;0,'OP Triangle'!W8/'OP Triangle'!V8,"")</f>
        <v/>
      </c>
      <c r="W8" s="10">
        <f>IF('OP Triangle'!W8&gt;0,'OP Triangle'!X8/'OP Triangle'!W8,"")</f>
        <v/>
      </c>
      <c r="X8" s="10">
        <f>IF('OP Triangle'!X8&gt;0,'OP Triangle'!Y8/'OP Triangle'!X8,"")</f>
        <v/>
      </c>
      <c r="Y8" s="10">
        <f>IF('OP Triangle'!Y8&gt;0,'OP Triangle'!Z8/'OP Triangle'!Y8,"")</f>
        <v/>
      </c>
      <c r="Z8" s="10">
        <f>IF('OP Triangle'!Z8&gt;0,'OP Triangle'!AA8/'OP Triangle'!Z8,"")</f>
        <v/>
      </c>
      <c r="AA8" s="10">
        <f>IF('OP Triangle'!AA8&gt;0,'OP Triangle'!AB8/'OP Triangle'!AA8,"")</f>
        <v/>
      </c>
      <c r="AB8" s="10">
        <f>IF('OP Triangle'!AB8&gt;0,'OP Triangle'!AC8/'OP Triangle'!AB8,"")</f>
        <v/>
      </c>
      <c r="AC8" s="10">
        <f>IF('OP Triangle'!AC8&gt;0,'OP Triangle'!AD8/'OP Triangle'!AC8,"")</f>
        <v/>
      </c>
      <c r="AD8" s="10">
        <f>IF('OP Triangle'!AD8&gt;0,'OP Triangle'!AE8/'OP Triangle'!AD8,"")</f>
        <v/>
      </c>
      <c r="AE8" s="10">
        <f>IF('OP Triangle'!AE8&gt;0,'OP Triangle'!AF8/'OP Triangle'!AE8,"")</f>
        <v/>
      </c>
      <c r="AF8" s="10">
        <f>IF('OP Triangle'!AF8&gt;0,'OP Triangle'!AG8/'OP Triangle'!AF8,"")</f>
        <v/>
      </c>
      <c r="AG8" s="10">
        <f>IF('OP Triangle'!AG8&gt;0,'OP Triangle'!AH8/'OP Triangle'!AG8,"")</f>
        <v/>
      </c>
      <c r="AH8" s="10">
        <f>IF('OP Triangle'!AH8&gt;0,'OP Triangle'!AI8/'OP Triangle'!AH8,"")</f>
        <v/>
      </c>
      <c r="AI8" s="10">
        <f>IF('OP Triangle'!AI8&gt;0,'OP Triangle'!AJ8/'OP Triangle'!AI8,"")</f>
        <v/>
      </c>
      <c r="AJ8" s="11">
        <f>IF('OP Triangle'!AJ8&gt;0,'OP Triangle'!AK8/'OP Triangle'!AJ8,"")</f>
        <v/>
      </c>
      <c r="AK8" s="11">
        <f>IF('OP Triangle'!AK8&gt;0,'OP Triangle'!AL8/'OP Triangle'!AK8,"")</f>
        <v/>
      </c>
      <c r="AL8" s="10">
        <f>IF('OP Triangle'!AL8&gt;0,'OP Triangle'!AM8/'OP Triangle'!AL8,"")</f>
        <v/>
      </c>
      <c r="AM8" s="10">
        <f>IF('OP Triangle'!AM8&gt;0,'OP Triangle'!AN8/'OP Triangle'!AM8,"")</f>
        <v/>
      </c>
    </row>
    <row r="9">
      <c r="A9" s="6" t="inlineStr">
        <is>
          <t>2023-08</t>
        </is>
      </c>
      <c r="B9" s="10">
        <f>IF('OP Triangle'!B9&gt;0,'OP Triangle'!C9/'OP Triangle'!B9,"")</f>
        <v/>
      </c>
      <c r="C9" s="10">
        <f>IF('OP Triangle'!C9&gt;0,'OP Triangle'!D9/'OP Triangle'!C9,"")</f>
        <v/>
      </c>
      <c r="D9" s="10">
        <f>IF('OP Triangle'!D9&gt;0,'OP Triangle'!E9/'OP Triangle'!D9,"")</f>
        <v/>
      </c>
      <c r="E9" s="10">
        <f>IF('OP Triangle'!E9&gt;0,'OP Triangle'!F9/'OP Triangle'!E9,"")</f>
        <v/>
      </c>
      <c r="F9" s="10">
        <f>IF('OP Triangle'!F9&gt;0,'OP Triangle'!G9/'OP Triangle'!F9,"")</f>
        <v/>
      </c>
      <c r="G9" s="10">
        <f>IF('OP Triangle'!G9&gt;0,'OP Triangle'!H9/'OP Triangle'!G9,"")</f>
        <v/>
      </c>
      <c r="H9" s="10">
        <f>IF('OP Triangle'!H9&gt;0,'OP Triangle'!I9/'OP Triangle'!H9,"")</f>
        <v/>
      </c>
      <c r="I9" s="10">
        <f>IF('OP Triangle'!I9&gt;0,'OP Triangle'!J9/'OP Triangle'!I9,"")</f>
        <v/>
      </c>
      <c r="J9" s="10">
        <f>IF('OP Triangle'!J9&gt;0,'OP Triangle'!K9/'OP Triangle'!J9,"")</f>
        <v/>
      </c>
      <c r="K9" s="10">
        <f>IF('OP Triangle'!K9&gt;0,'OP Triangle'!L9/'OP Triangle'!K9,"")</f>
        <v/>
      </c>
      <c r="L9" s="10">
        <f>IF('OP Triangle'!L9&gt;0,'OP Triangle'!M9/'OP Triangle'!L9,"")</f>
        <v/>
      </c>
      <c r="M9" s="10">
        <f>IF('OP Triangle'!M9&gt;0,'OP Triangle'!N9/'OP Triangle'!M9,"")</f>
        <v/>
      </c>
      <c r="N9" s="10">
        <f>IF('OP Triangle'!N9&gt;0,'OP Triangle'!O9/'OP Triangle'!N9,"")</f>
        <v/>
      </c>
      <c r="O9" s="10">
        <f>IF('OP Triangle'!O9&gt;0,'OP Triangle'!P9/'OP Triangle'!O9,"")</f>
        <v/>
      </c>
      <c r="P9" s="10">
        <f>IF('OP Triangle'!P9&gt;0,'OP Triangle'!Q9/'OP Triangle'!P9,"")</f>
        <v/>
      </c>
      <c r="Q9" s="10">
        <f>IF('OP Triangle'!Q9&gt;0,'OP Triangle'!R9/'OP Triangle'!Q9,"")</f>
        <v/>
      </c>
      <c r="R9" s="10">
        <f>IF('OP Triangle'!R9&gt;0,'OP Triangle'!S9/'OP Triangle'!R9,"")</f>
        <v/>
      </c>
      <c r="S9" s="10">
        <f>IF('OP Triangle'!S9&gt;0,'OP Triangle'!T9/'OP Triangle'!S9,"")</f>
        <v/>
      </c>
      <c r="T9" s="10">
        <f>IF('OP Triangle'!T9&gt;0,'OP Triangle'!U9/'OP Triangle'!T9,"")</f>
        <v/>
      </c>
      <c r="U9" s="10">
        <f>IF('OP Triangle'!U9&gt;0,'OP Triangle'!V9/'OP Triangle'!U9,"")</f>
        <v/>
      </c>
      <c r="V9" s="10">
        <f>IF('OP Triangle'!V9&gt;0,'OP Triangle'!W9/'OP Triangle'!V9,"")</f>
        <v/>
      </c>
      <c r="W9" s="10">
        <f>IF('OP Triangle'!W9&gt;0,'OP Triangle'!X9/'OP Triangle'!W9,"")</f>
        <v/>
      </c>
      <c r="X9" s="10">
        <f>IF('OP Triangle'!X9&gt;0,'OP Triangle'!Y9/'OP Triangle'!X9,"")</f>
        <v/>
      </c>
      <c r="Y9" s="10">
        <f>IF('OP Triangle'!Y9&gt;0,'OP Triangle'!Z9/'OP Triangle'!Y9,"")</f>
        <v/>
      </c>
      <c r="Z9" s="10">
        <f>IF('OP Triangle'!Z9&gt;0,'OP Triangle'!AA9/'OP Triangle'!Z9,"")</f>
        <v/>
      </c>
      <c r="AA9" s="10">
        <f>IF('OP Triangle'!AA9&gt;0,'OP Triangle'!AB9/'OP Triangle'!AA9,"")</f>
        <v/>
      </c>
      <c r="AB9" s="10">
        <f>IF('OP Triangle'!AB9&gt;0,'OP Triangle'!AC9/'OP Triangle'!AB9,"")</f>
        <v/>
      </c>
      <c r="AC9" s="10">
        <f>IF('OP Triangle'!AC9&gt;0,'OP Triangle'!AD9/'OP Triangle'!AC9,"")</f>
        <v/>
      </c>
      <c r="AD9" s="10">
        <f>IF('OP Triangle'!AD9&gt;0,'OP Triangle'!AE9/'OP Triangle'!AD9,"")</f>
        <v/>
      </c>
      <c r="AE9" s="10">
        <f>IF('OP Triangle'!AE9&gt;0,'OP Triangle'!AF9/'OP Triangle'!AE9,"")</f>
        <v/>
      </c>
      <c r="AF9" s="10">
        <f>IF('OP Triangle'!AF9&gt;0,'OP Triangle'!AG9/'OP Triangle'!AF9,"")</f>
        <v/>
      </c>
      <c r="AG9" s="10">
        <f>IF('OP Triangle'!AG9&gt;0,'OP Triangle'!AH9/'OP Triangle'!AG9,"")</f>
        <v/>
      </c>
      <c r="AH9" s="10">
        <f>IF('OP Triangle'!AH9&gt;0,'OP Triangle'!AI9/'OP Triangle'!AH9,"")</f>
        <v/>
      </c>
      <c r="AI9" s="11">
        <f>IF('OP Triangle'!AI9&gt;0,'OP Triangle'!AJ9/'OP Triangle'!AI9,"")</f>
        <v/>
      </c>
      <c r="AJ9" s="11">
        <f>IF('OP Triangle'!AJ9&gt;0,'OP Triangle'!AK9/'OP Triangle'!AJ9,"")</f>
        <v/>
      </c>
      <c r="AK9" s="10">
        <f>IF('OP Triangle'!AK9&gt;0,'OP Triangle'!AL9/'OP Triangle'!AK9,"")</f>
        <v/>
      </c>
      <c r="AL9" s="10">
        <f>IF('OP Triangle'!AL9&gt;0,'OP Triangle'!AM9/'OP Triangle'!AL9,"")</f>
        <v/>
      </c>
    </row>
    <row r="10">
      <c r="A10" s="6" t="inlineStr">
        <is>
          <t>2023-09</t>
        </is>
      </c>
      <c r="B10" s="10">
        <f>IF('OP Triangle'!B10&gt;0,'OP Triangle'!C10/'OP Triangle'!B10,"")</f>
        <v/>
      </c>
      <c r="C10" s="10">
        <f>IF('OP Triangle'!C10&gt;0,'OP Triangle'!D10/'OP Triangle'!C10,"")</f>
        <v/>
      </c>
      <c r="D10" s="10">
        <f>IF('OP Triangle'!D10&gt;0,'OP Triangle'!E10/'OP Triangle'!D10,"")</f>
        <v/>
      </c>
      <c r="E10" s="10">
        <f>IF('OP Triangle'!E10&gt;0,'OP Triangle'!F10/'OP Triangle'!E10,"")</f>
        <v/>
      </c>
      <c r="F10" s="10">
        <f>IF('OP Triangle'!F10&gt;0,'OP Triangle'!G10/'OP Triangle'!F10,"")</f>
        <v/>
      </c>
      <c r="G10" s="10">
        <f>IF('OP Triangle'!G10&gt;0,'OP Triangle'!H10/'OP Triangle'!G10,"")</f>
        <v/>
      </c>
      <c r="H10" s="10">
        <f>IF('OP Triangle'!H10&gt;0,'OP Triangle'!I10/'OP Triangle'!H10,"")</f>
        <v/>
      </c>
      <c r="I10" s="10">
        <f>IF('OP Triangle'!I10&gt;0,'OP Triangle'!J10/'OP Triangle'!I10,"")</f>
        <v/>
      </c>
      <c r="J10" s="10">
        <f>IF('OP Triangle'!J10&gt;0,'OP Triangle'!K10/'OP Triangle'!J10,"")</f>
        <v/>
      </c>
      <c r="K10" s="10">
        <f>IF('OP Triangle'!K10&gt;0,'OP Triangle'!L10/'OP Triangle'!K10,"")</f>
        <v/>
      </c>
      <c r="L10" s="10">
        <f>IF('OP Triangle'!L10&gt;0,'OP Triangle'!M10/'OP Triangle'!L10,"")</f>
        <v/>
      </c>
      <c r="M10" s="10">
        <f>IF('OP Triangle'!M10&gt;0,'OP Triangle'!N10/'OP Triangle'!M10,"")</f>
        <v/>
      </c>
      <c r="N10" s="10">
        <f>IF('OP Triangle'!N10&gt;0,'OP Triangle'!O10/'OP Triangle'!N10,"")</f>
        <v/>
      </c>
      <c r="O10" s="10">
        <f>IF('OP Triangle'!O10&gt;0,'OP Triangle'!P10/'OP Triangle'!O10,"")</f>
        <v/>
      </c>
      <c r="P10" s="10">
        <f>IF('OP Triangle'!P10&gt;0,'OP Triangle'!Q10/'OP Triangle'!P10,"")</f>
        <v/>
      </c>
      <c r="Q10" s="10">
        <f>IF('OP Triangle'!Q10&gt;0,'OP Triangle'!R10/'OP Triangle'!Q10,"")</f>
        <v/>
      </c>
      <c r="R10" s="10">
        <f>IF('OP Triangle'!R10&gt;0,'OP Triangle'!S10/'OP Triangle'!R10,"")</f>
        <v/>
      </c>
      <c r="S10" s="10">
        <f>IF('OP Triangle'!S10&gt;0,'OP Triangle'!T10/'OP Triangle'!S10,"")</f>
        <v/>
      </c>
      <c r="T10" s="10">
        <f>IF('OP Triangle'!T10&gt;0,'OP Triangle'!U10/'OP Triangle'!T10,"")</f>
        <v/>
      </c>
      <c r="U10" s="10">
        <f>IF('OP Triangle'!U10&gt;0,'OP Triangle'!V10/'OP Triangle'!U10,"")</f>
        <v/>
      </c>
      <c r="V10" s="10">
        <f>IF('OP Triangle'!V10&gt;0,'OP Triangle'!W10/'OP Triangle'!V10,"")</f>
        <v/>
      </c>
      <c r="W10" s="10">
        <f>IF('OP Triangle'!W10&gt;0,'OP Triangle'!X10/'OP Triangle'!W10,"")</f>
        <v/>
      </c>
      <c r="X10" s="10">
        <f>IF('OP Triangle'!X10&gt;0,'OP Triangle'!Y10/'OP Triangle'!X10,"")</f>
        <v/>
      </c>
      <c r="Y10" s="10">
        <f>IF('OP Triangle'!Y10&gt;0,'OP Triangle'!Z10/'OP Triangle'!Y10,"")</f>
        <v/>
      </c>
      <c r="Z10" s="10">
        <f>IF('OP Triangle'!Z10&gt;0,'OP Triangle'!AA10/'OP Triangle'!Z10,"")</f>
        <v/>
      </c>
      <c r="AA10" s="10">
        <f>IF('OP Triangle'!AA10&gt;0,'OP Triangle'!AB10/'OP Triangle'!AA10,"")</f>
        <v/>
      </c>
      <c r="AB10" s="10">
        <f>IF('OP Triangle'!AB10&gt;0,'OP Triangle'!AC10/'OP Triangle'!AB10,"")</f>
        <v/>
      </c>
      <c r="AC10" s="10">
        <f>IF('OP Triangle'!AC10&gt;0,'OP Triangle'!AD10/'OP Triangle'!AC10,"")</f>
        <v/>
      </c>
      <c r="AD10" s="10">
        <f>IF('OP Triangle'!AD10&gt;0,'OP Triangle'!AE10/'OP Triangle'!AD10,"")</f>
        <v/>
      </c>
      <c r="AE10" s="10">
        <f>IF('OP Triangle'!AE10&gt;0,'OP Triangle'!AF10/'OP Triangle'!AE10,"")</f>
        <v/>
      </c>
      <c r="AF10" s="10">
        <f>IF('OP Triangle'!AF10&gt;0,'OP Triangle'!AG10/'OP Triangle'!AF10,"")</f>
        <v/>
      </c>
      <c r="AG10" s="10">
        <f>IF('OP Triangle'!AG10&gt;0,'OP Triangle'!AH10/'OP Triangle'!AG10,"")</f>
        <v/>
      </c>
      <c r="AH10" s="11">
        <f>IF('OP Triangle'!AH10&gt;0,'OP Triangle'!AI10/'OP Triangle'!AH10,"")</f>
        <v/>
      </c>
      <c r="AI10" s="11">
        <f>IF('OP Triangle'!AI10&gt;0,'OP Triangle'!AJ10/'OP Triangle'!AI10,"")</f>
        <v/>
      </c>
      <c r="AJ10" s="10">
        <f>IF('OP Triangle'!AJ10&gt;0,'OP Triangle'!AK10/'OP Triangle'!AJ10,"")</f>
        <v/>
      </c>
      <c r="AK10" s="10">
        <f>IF('OP Triangle'!AK10&gt;0,'OP Triangle'!AL10/'OP Triangle'!AK10,"")</f>
        <v/>
      </c>
    </row>
    <row r="11">
      <c r="A11" s="6" t="inlineStr">
        <is>
          <t>2023-10</t>
        </is>
      </c>
      <c r="B11" s="10">
        <f>IF('OP Triangle'!B11&gt;0,'OP Triangle'!C11/'OP Triangle'!B11,"")</f>
        <v/>
      </c>
      <c r="C11" s="10">
        <f>IF('OP Triangle'!C11&gt;0,'OP Triangle'!D11/'OP Triangle'!C11,"")</f>
        <v/>
      </c>
      <c r="D11" s="10">
        <f>IF('OP Triangle'!D11&gt;0,'OP Triangle'!E11/'OP Triangle'!D11,"")</f>
        <v/>
      </c>
      <c r="E11" s="10">
        <f>IF('OP Triangle'!E11&gt;0,'OP Triangle'!F11/'OP Triangle'!E11,"")</f>
        <v/>
      </c>
      <c r="F11" s="10">
        <f>IF('OP Triangle'!F11&gt;0,'OP Triangle'!G11/'OP Triangle'!F11,"")</f>
        <v/>
      </c>
      <c r="G11" s="10">
        <f>IF('OP Triangle'!G11&gt;0,'OP Triangle'!H11/'OP Triangle'!G11,"")</f>
        <v/>
      </c>
      <c r="H11" s="10">
        <f>IF('OP Triangle'!H11&gt;0,'OP Triangle'!I11/'OP Triangle'!H11,"")</f>
        <v/>
      </c>
      <c r="I11" s="10">
        <f>IF('OP Triangle'!I11&gt;0,'OP Triangle'!J11/'OP Triangle'!I11,"")</f>
        <v/>
      </c>
      <c r="J11" s="10">
        <f>IF('OP Triangle'!J11&gt;0,'OP Triangle'!K11/'OP Triangle'!J11,"")</f>
        <v/>
      </c>
      <c r="K11" s="10">
        <f>IF('OP Triangle'!K11&gt;0,'OP Triangle'!L11/'OP Triangle'!K11,"")</f>
        <v/>
      </c>
      <c r="L11" s="10">
        <f>IF('OP Triangle'!L11&gt;0,'OP Triangle'!M11/'OP Triangle'!L11,"")</f>
        <v/>
      </c>
      <c r="M11" s="10">
        <f>IF('OP Triangle'!M11&gt;0,'OP Triangle'!N11/'OP Triangle'!M11,"")</f>
        <v/>
      </c>
      <c r="N11" s="10">
        <f>IF('OP Triangle'!N11&gt;0,'OP Triangle'!O11/'OP Triangle'!N11,"")</f>
        <v/>
      </c>
      <c r="O11" s="10">
        <f>IF('OP Triangle'!O11&gt;0,'OP Triangle'!P11/'OP Triangle'!O11,"")</f>
        <v/>
      </c>
      <c r="P11" s="10">
        <f>IF('OP Triangle'!P11&gt;0,'OP Triangle'!Q11/'OP Triangle'!P11,"")</f>
        <v/>
      </c>
      <c r="Q11" s="10">
        <f>IF('OP Triangle'!Q11&gt;0,'OP Triangle'!R11/'OP Triangle'!Q11,"")</f>
        <v/>
      </c>
      <c r="R11" s="10">
        <f>IF('OP Triangle'!R11&gt;0,'OP Triangle'!S11/'OP Triangle'!R11,"")</f>
        <v/>
      </c>
      <c r="S11" s="10">
        <f>IF('OP Triangle'!S11&gt;0,'OP Triangle'!T11/'OP Triangle'!S11,"")</f>
        <v/>
      </c>
      <c r="T11" s="10">
        <f>IF('OP Triangle'!T11&gt;0,'OP Triangle'!U11/'OP Triangle'!T11,"")</f>
        <v/>
      </c>
      <c r="U11" s="10">
        <f>IF('OP Triangle'!U11&gt;0,'OP Triangle'!V11/'OP Triangle'!U11,"")</f>
        <v/>
      </c>
      <c r="V11" s="10">
        <f>IF('OP Triangle'!V11&gt;0,'OP Triangle'!W11/'OP Triangle'!V11,"")</f>
        <v/>
      </c>
      <c r="W11" s="10">
        <f>IF('OP Triangle'!W11&gt;0,'OP Triangle'!X11/'OP Triangle'!W11,"")</f>
        <v/>
      </c>
      <c r="X11" s="10">
        <f>IF('OP Triangle'!X11&gt;0,'OP Triangle'!Y11/'OP Triangle'!X11,"")</f>
        <v/>
      </c>
      <c r="Y11" s="10">
        <f>IF('OP Triangle'!Y11&gt;0,'OP Triangle'!Z11/'OP Triangle'!Y11,"")</f>
        <v/>
      </c>
      <c r="Z11" s="10">
        <f>IF('OP Triangle'!Z11&gt;0,'OP Triangle'!AA11/'OP Triangle'!Z11,"")</f>
        <v/>
      </c>
      <c r="AA11" s="10">
        <f>IF('OP Triangle'!AA11&gt;0,'OP Triangle'!AB11/'OP Triangle'!AA11,"")</f>
        <v/>
      </c>
      <c r="AB11" s="10">
        <f>IF('OP Triangle'!AB11&gt;0,'OP Triangle'!AC11/'OP Triangle'!AB11,"")</f>
        <v/>
      </c>
      <c r="AC11" s="10">
        <f>IF('OP Triangle'!AC11&gt;0,'OP Triangle'!AD11/'OP Triangle'!AC11,"")</f>
        <v/>
      </c>
      <c r="AD11" s="10">
        <f>IF('OP Triangle'!AD11&gt;0,'OP Triangle'!AE11/'OP Triangle'!AD11,"")</f>
        <v/>
      </c>
      <c r="AE11" s="10">
        <f>IF('OP Triangle'!AE11&gt;0,'OP Triangle'!AF11/'OP Triangle'!AE11,"")</f>
        <v/>
      </c>
      <c r="AF11" s="10">
        <f>IF('OP Triangle'!AF11&gt;0,'OP Triangle'!AG11/'OP Triangle'!AF11,"")</f>
        <v/>
      </c>
      <c r="AG11" s="11">
        <f>IF('OP Triangle'!AG11&gt;0,'OP Triangle'!AH11/'OP Triangle'!AG11,"")</f>
        <v/>
      </c>
      <c r="AH11" s="11">
        <f>IF('OP Triangle'!AH11&gt;0,'OP Triangle'!AI11/'OP Triangle'!AH11,"")</f>
        <v/>
      </c>
      <c r="AI11" s="10">
        <f>IF('OP Triangle'!AI11&gt;0,'OP Triangle'!AJ11/'OP Triangle'!AI11,"")</f>
        <v/>
      </c>
      <c r="AJ11" s="10">
        <f>IF('OP Triangle'!AJ11&gt;0,'OP Triangle'!AK11/'OP Triangle'!AJ11,"")</f>
        <v/>
      </c>
    </row>
    <row r="12">
      <c r="A12" s="6" t="inlineStr">
        <is>
          <t>2023-11</t>
        </is>
      </c>
      <c r="B12" s="10">
        <f>IF('OP Triangle'!B12&gt;0,'OP Triangle'!C12/'OP Triangle'!B12,"")</f>
        <v/>
      </c>
      <c r="C12" s="10">
        <f>IF('OP Triangle'!C12&gt;0,'OP Triangle'!D12/'OP Triangle'!C12,"")</f>
        <v/>
      </c>
      <c r="D12" s="10">
        <f>IF('OP Triangle'!D12&gt;0,'OP Triangle'!E12/'OP Triangle'!D12,"")</f>
        <v/>
      </c>
      <c r="E12" s="10">
        <f>IF('OP Triangle'!E12&gt;0,'OP Triangle'!F12/'OP Triangle'!E12,"")</f>
        <v/>
      </c>
      <c r="F12" s="10">
        <f>IF('OP Triangle'!F12&gt;0,'OP Triangle'!G12/'OP Triangle'!F12,"")</f>
        <v/>
      </c>
      <c r="G12" s="10">
        <f>IF('OP Triangle'!G12&gt;0,'OP Triangle'!H12/'OP Triangle'!G12,"")</f>
        <v/>
      </c>
      <c r="H12" s="10">
        <f>IF('OP Triangle'!H12&gt;0,'OP Triangle'!I12/'OP Triangle'!H12,"")</f>
        <v/>
      </c>
      <c r="I12" s="10">
        <f>IF('OP Triangle'!I12&gt;0,'OP Triangle'!J12/'OP Triangle'!I12,"")</f>
        <v/>
      </c>
      <c r="J12" s="10">
        <f>IF('OP Triangle'!J12&gt;0,'OP Triangle'!K12/'OP Triangle'!J12,"")</f>
        <v/>
      </c>
      <c r="K12" s="10">
        <f>IF('OP Triangle'!K12&gt;0,'OP Triangle'!L12/'OP Triangle'!K12,"")</f>
        <v/>
      </c>
      <c r="L12" s="10">
        <f>IF('OP Triangle'!L12&gt;0,'OP Triangle'!M12/'OP Triangle'!L12,"")</f>
        <v/>
      </c>
      <c r="M12" s="10">
        <f>IF('OP Triangle'!M12&gt;0,'OP Triangle'!N12/'OP Triangle'!M12,"")</f>
        <v/>
      </c>
      <c r="N12" s="10">
        <f>IF('OP Triangle'!N12&gt;0,'OP Triangle'!O12/'OP Triangle'!N12,"")</f>
        <v/>
      </c>
      <c r="O12" s="10">
        <f>IF('OP Triangle'!O12&gt;0,'OP Triangle'!P12/'OP Triangle'!O12,"")</f>
        <v/>
      </c>
      <c r="P12" s="10">
        <f>IF('OP Triangle'!P12&gt;0,'OP Triangle'!Q12/'OP Triangle'!P12,"")</f>
        <v/>
      </c>
      <c r="Q12" s="10">
        <f>IF('OP Triangle'!Q12&gt;0,'OP Triangle'!R12/'OP Triangle'!Q12,"")</f>
        <v/>
      </c>
      <c r="R12" s="10">
        <f>IF('OP Triangle'!R12&gt;0,'OP Triangle'!S12/'OP Triangle'!R12,"")</f>
        <v/>
      </c>
      <c r="S12" s="10">
        <f>IF('OP Triangle'!S12&gt;0,'OP Triangle'!T12/'OP Triangle'!S12,"")</f>
        <v/>
      </c>
      <c r="T12" s="10">
        <f>IF('OP Triangle'!T12&gt;0,'OP Triangle'!U12/'OP Triangle'!T12,"")</f>
        <v/>
      </c>
      <c r="U12" s="10">
        <f>IF('OP Triangle'!U12&gt;0,'OP Triangle'!V12/'OP Triangle'!U12,"")</f>
        <v/>
      </c>
      <c r="V12" s="10">
        <f>IF('OP Triangle'!V12&gt;0,'OP Triangle'!W12/'OP Triangle'!V12,"")</f>
        <v/>
      </c>
      <c r="W12" s="10">
        <f>IF('OP Triangle'!W12&gt;0,'OP Triangle'!X12/'OP Triangle'!W12,"")</f>
        <v/>
      </c>
      <c r="X12" s="10">
        <f>IF('OP Triangle'!X12&gt;0,'OP Triangle'!Y12/'OP Triangle'!X12,"")</f>
        <v/>
      </c>
      <c r="Y12" s="10">
        <f>IF('OP Triangle'!Y12&gt;0,'OP Triangle'!Z12/'OP Triangle'!Y12,"")</f>
        <v/>
      </c>
      <c r="Z12" s="10">
        <f>IF('OP Triangle'!Z12&gt;0,'OP Triangle'!AA12/'OP Triangle'!Z12,"")</f>
        <v/>
      </c>
      <c r="AA12" s="10">
        <f>IF('OP Triangle'!AA12&gt;0,'OP Triangle'!AB12/'OP Triangle'!AA12,"")</f>
        <v/>
      </c>
      <c r="AB12" s="10">
        <f>IF('OP Triangle'!AB12&gt;0,'OP Triangle'!AC12/'OP Triangle'!AB12,"")</f>
        <v/>
      </c>
      <c r="AC12" s="10">
        <f>IF('OP Triangle'!AC12&gt;0,'OP Triangle'!AD12/'OP Triangle'!AC12,"")</f>
        <v/>
      </c>
      <c r="AD12" s="10">
        <f>IF('OP Triangle'!AD12&gt;0,'OP Triangle'!AE12/'OP Triangle'!AD12,"")</f>
        <v/>
      </c>
      <c r="AE12" s="10">
        <f>IF('OP Triangle'!AE12&gt;0,'OP Triangle'!AF12/'OP Triangle'!AE12,"")</f>
        <v/>
      </c>
      <c r="AF12" s="11">
        <f>IF('OP Triangle'!AF12&gt;0,'OP Triangle'!AG12/'OP Triangle'!AF12,"")</f>
        <v/>
      </c>
      <c r="AG12" s="11">
        <f>IF('OP Triangle'!AG12&gt;0,'OP Triangle'!AH12/'OP Triangle'!AG12,"")</f>
        <v/>
      </c>
      <c r="AH12" s="10">
        <f>IF('OP Triangle'!AH12&gt;0,'OP Triangle'!AI12/'OP Triangle'!AH12,"")</f>
        <v/>
      </c>
      <c r="AI12" s="10">
        <f>IF('OP Triangle'!AI12&gt;0,'OP Triangle'!AJ12/'OP Triangle'!AI12,"")</f>
        <v/>
      </c>
    </row>
    <row r="13">
      <c r="A13" s="6" t="inlineStr">
        <is>
          <t>2023-12</t>
        </is>
      </c>
      <c r="B13" s="10">
        <f>IF('OP Triangle'!B13&gt;0,'OP Triangle'!C13/'OP Triangle'!B13,"")</f>
        <v/>
      </c>
      <c r="C13" s="10">
        <f>IF('OP Triangle'!C13&gt;0,'OP Triangle'!D13/'OP Triangle'!C13,"")</f>
        <v/>
      </c>
      <c r="D13" s="10">
        <f>IF('OP Triangle'!D13&gt;0,'OP Triangle'!E13/'OP Triangle'!D13,"")</f>
        <v/>
      </c>
      <c r="E13" s="10">
        <f>IF('OP Triangle'!E13&gt;0,'OP Triangle'!F13/'OP Triangle'!E13,"")</f>
        <v/>
      </c>
      <c r="F13" s="10">
        <f>IF('OP Triangle'!F13&gt;0,'OP Triangle'!G13/'OP Triangle'!F13,"")</f>
        <v/>
      </c>
      <c r="G13" s="10">
        <f>IF('OP Triangle'!G13&gt;0,'OP Triangle'!H13/'OP Triangle'!G13,"")</f>
        <v/>
      </c>
      <c r="H13" s="10">
        <f>IF('OP Triangle'!H13&gt;0,'OP Triangle'!I13/'OP Triangle'!H13,"")</f>
        <v/>
      </c>
      <c r="I13" s="10">
        <f>IF('OP Triangle'!I13&gt;0,'OP Triangle'!J13/'OP Triangle'!I13,"")</f>
        <v/>
      </c>
      <c r="J13" s="10">
        <f>IF('OP Triangle'!J13&gt;0,'OP Triangle'!K13/'OP Triangle'!J13,"")</f>
        <v/>
      </c>
      <c r="K13" s="10">
        <f>IF('OP Triangle'!K13&gt;0,'OP Triangle'!L13/'OP Triangle'!K13,"")</f>
        <v/>
      </c>
      <c r="L13" s="10">
        <f>IF('OP Triangle'!L13&gt;0,'OP Triangle'!M13/'OP Triangle'!L13,"")</f>
        <v/>
      </c>
      <c r="M13" s="10">
        <f>IF('OP Triangle'!M13&gt;0,'OP Triangle'!N13/'OP Triangle'!M13,"")</f>
        <v/>
      </c>
      <c r="N13" s="10">
        <f>IF('OP Triangle'!N13&gt;0,'OP Triangle'!O13/'OP Triangle'!N13,"")</f>
        <v/>
      </c>
      <c r="O13" s="10">
        <f>IF('OP Triangle'!O13&gt;0,'OP Triangle'!P13/'OP Triangle'!O13,"")</f>
        <v/>
      </c>
      <c r="P13" s="10">
        <f>IF('OP Triangle'!P13&gt;0,'OP Triangle'!Q13/'OP Triangle'!P13,"")</f>
        <v/>
      </c>
      <c r="Q13" s="10">
        <f>IF('OP Triangle'!Q13&gt;0,'OP Triangle'!R13/'OP Triangle'!Q13,"")</f>
        <v/>
      </c>
      <c r="R13" s="10">
        <f>IF('OP Triangle'!R13&gt;0,'OP Triangle'!S13/'OP Triangle'!R13,"")</f>
        <v/>
      </c>
      <c r="S13" s="10">
        <f>IF('OP Triangle'!S13&gt;0,'OP Triangle'!T13/'OP Triangle'!S13,"")</f>
        <v/>
      </c>
      <c r="T13" s="10">
        <f>IF('OP Triangle'!T13&gt;0,'OP Triangle'!U13/'OP Triangle'!T13,"")</f>
        <v/>
      </c>
      <c r="U13" s="10">
        <f>IF('OP Triangle'!U13&gt;0,'OP Triangle'!V13/'OP Triangle'!U13,"")</f>
        <v/>
      </c>
      <c r="V13" s="10">
        <f>IF('OP Triangle'!V13&gt;0,'OP Triangle'!W13/'OP Triangle'!V13,"")</f>
        <v/>
      </c>
      <c r="W13" s="10">
        <f>IF('OP Triangle'!W13&gt;0,'OP Triangle'!X13/'OP Triangle'!W13,"")</f>
        <v/>
      </c>
      <c r="X13" s="10">
        <f>IF('OP Triangle'!X13&gt;0,'OP Triangle'!Y13/'OP Triangle'!X13,"")</f>
        <v/>
      </c>
      <c r="Y13" s="10">
        <f>IF('OP Triangle'!Y13&gt;0,'OP Triangle'!Z13/'OP Triangle'!Y13,"")</f>
        <v/>
      </c>
      <c r="Z13" s="10">
        <f>IF('OP Triangle'!Z13&gt;0,'OP Triangle'!AA13/'OP Triangle'!Z13,"")</f>
        <v/>
      </c>
      <c r="AA13" s="10">
        <f>IF('OP Triangle'!AA13&gt;0,'OP Triangle'!AB13/'OP Triangle'!AA13,"")</f>
        <v/>
      </c>
      <c r="AB13" s="10">
        <f>IF('OP Triangle'!AB13&gt;0,'OP Triangle'!AC13/'OP Triangle'!AB13,"")</f>
        <v/>
      </c>
      <c r="AC13" s="10">
        <f>IF('OP Triangle'!AC13&gt;0,'OP Triangle'!AD13/'OP Triangle'!AC13,"")</f>
        <v/>
      </c>
      <c r="AD13" s="10">
        <f>IF('OP Triangle'!AD13&gt;0,'OP Triangle'!AE13/'OP Triangle'!AD13,"")</f>
        <v/>
      </c>
      <c r="AE13" s="11">
        <f>IF('OP Triangle'!AE13&gt;0,'OP Triangle'!AF13/'OP Triangle'!AE13,"")</f>
        <v/>
      </c>
      <c r="AF13" s="11">
        <f>IF('OP Triangle'!AF13&gt;0,'OP Triangle'!AG13/'OP Triangle'!AF13,"")</f>
        <v/>
      </c>
      <c r="AG13" s="10">
        <f>IF('OP Triangle'!AG13&gt;0,'OP Triangle'!AH13/'OP Triangle'!AG13,"")</f>
        <v/>
      </c>
      <c r="AH13" s="10">
        <f>IF('OP Triangle'!AH13&gt;0,'OP Triangle'!AI13/'OP Triangle'!AH13,"")</f>
        <v/>
      </c>
    </row>
    <row r="14">
      <c r="A14" s="6" t="inlineStr">
        <is>
          <t>2024-01</t>
        </is>
      </c>
      <c r="B14" s="10">
        <f>IF('OP Triangle'!B14&gt;0,'OP Triangle'!C14/'OP Triangle'!B14,"")</f>
        <v/>
      </c>
      <c r="C14" s="10">
        <f>IF('OP Triangle'!C14&gt;0,'OP Triangle'!D14/'OP Triangle'!C14,"")</f>
        <v/>
      </c>
      <c r="D14" s="10">
        <f>IF('OP Triangle'!D14&gt;0,'OP Triangle'!E14/'OP Triangle'!D14,"")</f>
        <v/>
      </c>
      <c r="E14" s="10">
        <f>IF('OP Triangle'!E14&gt;0,'OP Triangle'!F14/'OP Triangle'!E14,"")</f>
        <v/>
      </c>
      <c r="F14" s="10">
        <f>IF('OP Triangle'!F14&gt;0,'OP Triangle'!G14/'OP Triangle'!F14,"")</f>
        <v/>
      </c>
      <c r="G14" s="10">
        <f>IF('OP Triangle'!G14&gt;0,'OP Triangle'!H14/'OP Triangle'!G14,"")</f>
        <v/>
      </c>
      <c r="H14" s="10">
        <f>IF('OP Triangle'!H14&gt;0,'OP Triangle'!I14/'OP Triangle'!H14,"")</f>
        <v/>
      </c>
      <c r="I14" s="10">
        <f>IF('OP Triangle'!I14&gt;0,'OP Triangle'!J14/'OP Triangle'!I14,"")</f>
        <v/>
      </c>
      <c r="J14" s="10">
        <f>IF('OP Triangle'!J14&gt;0,'OP Triangle'!K14/'OP Triangle'!J14,"")</f>
        <v/>
      </c>
      <c r="K14" s="10">
        <f>IF('OP Triangle'!K14&gt;0,'OP Triangle'!L14/'OP Triangle'!K14,"")</f>
        <v/>
      </c>
      <c r="L14" s="10">
        <f>IF('OP Triangle'!L14&gt;0,'OP Triangle'!M14/'OP Triangle'!L14,"")</f>
        <v/>
      </c>
      <c r="M14" s="10">
        <f>IF('OP Triangle'!M14&gt;0,'OP Triangle'!N14/'OP Triangle'!M14,"")</f>
        <v/>
      </c>
      <c r="N14" s="10">
        <f>IF('OP Triangle'!N14&gt;0,'OP Triangle'!O14/'OP Triangle'!N14,"")</f>
        <v/>
      </c>
      <c r="O14" s="10">
        <f>IF('OP Triangle'!O14&gt;0,'OP Triangle'!P14/'OP Triangle'!O14,"")</f>
        <v/>
      </c>
      <c r="P14" s="10">
        <f>IF('OP Triangle'!P14&gt;0,'OP Triangle'!Q14/'OP Triangle'!P14,"")</f>
        <v/>
      </c>
      <c r="Q14" s="10">
        <f>IF('OP Triangle'!Q14&gt;0,'OP Triangle'!R14/'OP Triangle'!Q14,"")</f>
        <v/>
      </c>
      <c r="R14" s="10">
        <f>IF('OP Triangle'!R14&gt;0,'OP Triangle'!S14/'OP Triangle'!R14,"")</f>
        <v/>
      </c>
      <c r="S14" s="10">
        <f>IF('OP Triangle'!S14&gt;0,'OP Triangle'!T14/'OP Triangle'!S14,"")</f>
        <v/>
      </c>
      <c r="T14" s="10">
        <f>IF('OP Triangle'!T14&gt;0,'OP Triangle'!U14/'OP Triangle'!T14,"")</f>
        <v/>
      </c>
      <c r="U14" s="10">
        <f>IF('OP Triangle'!U14&gt;0,'OP Triangle'!V14/'OP Triangle'!U14,"")</f>
        <v/>
      </c>
      <c r="V14" s="10">
        <f>IF('OP Triangle'!V14&gt;0,'OP Triangle'!W14/'OP Triangle'!V14,"")</f>
        <v/>
      </c>
      <c r="W14" s="10">
        <f>IF('OP Triangle'!W14&gt;0,'OP Triangle'!X14/'OP Triangle'!W14,"")</f>
        <v/>
      </c>
      <c r="X14" s="10">
        <f>IF('OP Triangle'!X14&gt;0,'OP Triangle'!Y14/'OP Triangle'!X14,"")</f>
        <v/>
      </c>
      <c r="Y14" s="10">
        <f>IF('OP Triangle'!Y14&gt;0,'OP Triangle'!Z14/'OP Triangle'!Y14,"")</f>
        <v/>
      </c>
      <c r="Z14" s="10">
        <f>IF('OP Triangle'!Z14&gt;0,'OP Triangle'!AA14/'OP Triangle'!Z14,"")</f>
        <v/>
      </c>
      <c r="AA14" s="10">
        <f>IF('OP Triangle'!AA14&gt;0,'OP Triangle'!AB14/'OP Triangle'!AA14,"")</f>
        <v/>
      </c>
      <c r="AB14" s="10">
        <f>IF('OP Triangle'!AB14&gt;0,'OP Triangle'!AC14/'OP Triangle'!AB14,"")</f>
        <v/>
      </c>
      <c r="AC14" s="10">
        <f>IF('OP Triangle'!AC14&gt;0,'OP Triangle'!AD14/'OP Triangle'!AC14,"")</f>
        <v/>
      </c>
      <c r="AD14" s="11">
        <f>IF('OP Triangle'!AD14&gt;0,'OP Triangle'!AE14/'OP Triangle'!AD14,"")</f>
        <v/>
      </c>
      <c r="AE14" s="11">
        <f>IF('OP Triangle'!AE14&gt;0,'OP Triangle'!AF14/'OP Triangle'!AE14,"")</f>
        <v/>
      </c>
      <c r="AF14" s="10">
        <f>IF('OP Triangle'!AF14&gt;0,'OP Triangle'!AG14/'OP Triangle'!AF14,"")</f>
        <v/>
      </c>
      <c r="AG14" s="10">
        <f>IF('OP Triangle'!AG14&gt;0,'OP Triangle'!AH14/'OP Triangle'!AG14,"")</f>
        <v/>
      </c>
    </row>
    <row r="15">
      <c r="A15" s="6" t="inlineStr">
        <is>
          <t>2024-02</t>
        </is>
      </c>
      <c r="B15" s="10">
        <f>IF('OP Triangle'!B15&gt;0,'OP Triangle'!C15/'OP Triangle'!B15,"")</f>
        <v/>
      </c>
      <c r="C15" s="10">
        <f>IF('OP Triangle'!C15&gt;0,'OP Triangle'!D15/'OP Triangle'!C15,"")</f>
        <v/>
      </c>
      <c r="D15" s="10">
        <f>IF('OP Triangle'!D15&gt;0,'OP Triangle'!E15/'OP Triangle'!D15,"")</f>
        <v/>
      </c>
      <c r="E15" s="10">
        <f>IF('OP Triangle'!E15&gt;0,'OP Triangle'!F15/'OP Triangle'!E15,"")</f>
        <v/>
      </c>
      <c r="F15" s="10">
        <f>IF('OP Triangle'!F15&gt;0,'OP Triangle'!G15/'OP Triangle'!F15,"")</f>
        <v/>
      </c>
      <c r="G15" s="10">
        <f>IF('OP Triangle'!G15&gt;0,'OP Triangle'!H15/'OP Triangle'!G15,"")</f>
        <v/>
      </c>
      <c r="H15" s="10">
        <f>IF('OP Triangle'!H15&gt;0,'OP Triangle'!I15/'OP Triangle'!H15,"")</f>
        <v/>
      </c>
      <c r="I15" s="10">
        <f>IF('OP Triangle'!I15&gt;0,'OP Triangle'!J15/'OP Triangle'!I15,"")</f>
        <v/>
      </c>
      <c r="J15" s="10">
        <f>IF('OP Triangle'!J15&gt;0,'OP Triangle'!K15/'OP Triangle'!J15,"")</f>
        <v/>
      </c>
      <c r="K15" s="10">
        <f>IF('OP Triangle'!K15&gt;0,'OP Triangle'!L15/'OP Triangle'!K15,"")</f>
        <v/>
      </c>
      <c r="L15" s="10">
        <f>IF('OP Triangle'!L15&gt;0,'OP Triangle'!M15/'OP Triangle'!L15,"")</f>
        <v/>
      </c>
      <c r="M15" s="10">
        <f>IF('OP Triangle'!M15&gt;0,'OP Triangle'!N15/'OP Triangle'!M15,"")</f>
        <v/>
      </c>
      <c r="N15" s="10">
        <f>IF('OP Triangle'!N15&gt;0,'OP Triangle'!O15/'OP Triangle'!N15,"")</f>
        <v/>
      </c>
      <c r="O15" s="10">
        <f>IF('OP Triangle'!O15&gt;0,'OP Triangle'!P15/'OP Triangle'!O15,"")</f>
        <v/>
      </c>
      <c r="P15" s="10">
        <f>IF('OP Triangle'!P15&gt;0,'OP Triangle'!Q15/'OP Triangle'!P15,"")</f>
        <v/>
      </c>
      <c r="Q15" s="10">
        <f>IF('OP Triangle'!Q15&gt;0,'OP Triangle'!R15/'OP Triangle'!Q15,"")</f>
        <v/>
      </c>
      <c r="R15" s="10">
        <f>IF('OP Triangle'!R15&gt;0,'OP Triangle'!S15/'OP Triangle'!R15,"")</f>
        <v/>
      </c>
      <c r="S15" s="10">
        <f>IF('OP Triangle'!S15&gt;0,'OP Triangle'!T15/'OP Triangle'!S15,"")</f>
        <v/>
      </c>
      <c r="T15" s="10">
        <f>IF('OP Triangle'!T15&gt;0,'OP Triangle'!U15/'OP Triangle'!T15,"")</f>
        <v/>
      </c>
      <c r="U15" s="10">
        <f>IF('OP Triangle'!U15&gt;0,'OP Triangle'!V15/'OP Triangle'!U15,"")</f>
        <v/>
      </c>
      <c r="V15" s="10">
        <f>IF('OP Triangle'!V15&gt;0,'OP Triangle'!W15/'OP Triangle'!V15,"")</f>
        <v/>
      </c>
      <c r="W15" s="10">
        <f>IF('OP Triangle'!W15&gt;0,'OP Triangle'!X15/'OP Triangle'!W15,"")</f>
        <v/>
      </c>
      <c r="X15" s="10">
        <f>IF('OP Triangle'!X15&gt;0,'OP Triangle'!Y15/'OP Triangle'!X15,"")</f>
        <v/>
      </c>
      <c r="Y15" s="10">
        <f>IF('OP Triangle'!Y15&gt;0,'OP Triangle'!Z15/'OP Triangle'!Y15,"")</f>
        <v/>
      </c>
      <c r="Z15" s="10">
        <f>IF('OP Triangle'!Z15&gt;0,'OP Triangle'!AA15/'OP Triangle'!Z15,"")</f>
        <v/>
      </c>
      <c r="AA15" s="10">
        <f>IF('OP Triangle'!AA15&gt;0,'OP Triangle'!AB15/'OP Triangle'!AA15,"")</f>
        <v/>
      </c>
      <c r="AB15" s="10">
        <f>IF('OP Triangle'!AB15&gt;0,'OP Triangle'!AC15/'OP Triangle'!AB15,"")</f>
        <v/>
      </c>
      <c r="AC15" s="11">
        <f>IF('OP Triangle'!AC15&gt;0,'OP Triangle'!AD15/'OP Triangle'!AC15,"")</f>
        <v/>
      </c>
      <c r="AD15" s="11">
        <f>IF('OP Triangle'!AD15&gt;0,'OP Triangle'!AE15/'OP Triangle'!AD15,"")</f>
        <v/>
      </c>
      <c r="AE15" s="10">
        <f>IF('OP Triangle'!AE15&gt;0,'OP Triangle'!AF15/'OP Triangle'!AE15,"")</f>
        <v/>
      </c>
      <c r="AF15" s="10">
        <f>IF('OP Triangle'!AF15&gt;0,'OP Triangle'!AG15/'OP Triangle'!AF15,"")</f>
        <v/>
      </c>
    </row>
    <row r="16">
      <c r="A16" s="6" t="inlineStr">
        <is>
          <t>2024-03</t>
        </is>
      </c>
      <c r="B16" s="10">
        <f>IF('OP Triangle'!B16&gt;0,'OP Triangle'!C16/'OP Triangle'!B16,"")</f>
        <v/>
      </c>
      <c r="C16" s="10">
        <f>IF('OP Triangle'!C16&gt;0,'OP Triangle'!D16/'OP Triangle'!C16,"")</f>
        <v/>
      </c>
      <c r="D16" s="10">
        <f>IF('OP Triangle'!D16&gt;0,'OP Triangle'!E16/'OP Triangle'!D16,"")</f>
        <v/>
      </c>
      <c r="E16" s="10">
        <f>IF('OP Triangle'!E16&gt;0,'OP Triangle'!F16/'OP Triangle'!E16,"")</f>
        <v/>
      </c>
      <c r="F16" s="10">
        <f>IF('OP Triangle'!F16&gt;0,'OP Triangle'!G16/'OP Triangle'!F16,"")</f>
        <v/>
      </c>
      <c r="G16" s="10">
        <f>IF('OP Triangle'!G16&gt;0,'OP Triangle'!H16/'OP Triangle'!G16,"")</f>
        <v/>
      </c>
      <c r="H16" s="10">
        <f>IF('OP Triangle'!H16&gt;0,'OP Triangle'!I16/'OP Triangle'!H16,"")</f>
        <v/>
      </c>
      <c r="I16" s="10">
        <f>IF('OP Triangle'!I16&gt;0,'OP Triangle'!J16/'OP Triangle'!I16,"")</f>
        <v/>
      </c>
      <c r="J16" s="10">
        <f>IF('OP Triangle'!J16&gt;0,'OP Triangle'!K16/'OP Triangle'!J16,"")</f>
        <v/>
      </c>
      <c r="K16" s="10">
        <f>IF('OP Triangle'!K16&gt;0,'OP Triangle'!L16/'OP Triangle'!K16,"")</f>
        <v/>
      </c>
      <c r="L16" s="10">
        <f>IF('OP Triangle'!L16&gt;0,'OP Triangle'!M16/'OP Triangle'!L16,"")</f>
        <v/>
      </c>
      <c r="M16" s="10">
        <f>IF('OP Triangle'!M16&gt;0,'OP Triangle'!N16/'OP Triangle'!M16,"")</f>
        <v/>
      </c>
      <c r="N16" s="10">
        <f>IF('OP Triangle'!N16&gt;0,'OP Triangle'!O16/'OP Triangle'!N16,"")</f>
        <v/>
      </c>
      <c r="O16" s="10">
        <f>IF('OP Triangle'!O16&gt;0,'OP Triangle'!P16/'OP Triangle'!O16,"")</f>
        <v/>
      </c>
      <c r="P16" s="10">
        <f>IF('OP Triangle'!P16&gt;0,'OP Triangle'!Q16/'OP Triangle'!P16,"")</f>
        <v/>
      </c>
      <c r="Q16" s="10">
        <f>IF('OP Triangle'!Q16&gt;0,'OP Triangle'!R16/'OP Triangle'!Q16,"")</f>
        <v/>
      </c>
      <c r="R16" s="10">
        <f>IF('OP Triangle'!R16&gt;0,'OP Triangle'!S16/'OP Triangle'!R16,"")</f>
        <v/>
      </c>
      <c r="S16" s="10">
        <f>IF('OP Triangle'!S16&gt;0,'OP Triangle'!T16/'OP Triangle'!S16,"")</f>
        <v/>
      </c>
      <c r="T16" s="10">
        <f>IF('OP Triangle'!T16&gt;0,'OP Triangle'!U16/'OP Triangle'!T16,"")</f>
        <v/>
      </c>
      <c r="U16" s="10">
        <f>IF('OP Triangle'!U16&gt;0,'OP Triangle'!V16/'OP Triangle'!U16,"")</f>
        <v/>
      </c>
      <c r="V16" s="10">
        <f>IF('OP Triangle'!V16&gt;0,'OP Triangle'!W16/'OP Triangle'!V16,"")</f>
        <v/>
      </c>
      <c r="W16" s="10">
        <f>IF('OP Triangle'!W16&gt;0,'OP Triangle'!X16/'OP Triangle'!W16,"")</f>
        <v/>
      </c>
      <c r="X16" s="10">
        <f>IF('OP Triangle'!X16&gt;0,'OP Triangle'!Y16/'OP Triangle'!X16,"")</f>
        <v/>
      </c>
      <c r="Y16" s="10">
        <f>IF('OP Triangle'!Y16&gt;0,'OP Triangle'!Z16/'OP Triangle'!Y16,"")</f>
        <v/>
      </c>
      <c r="Z16" s="10">
        <f>IF('OP Triangle'!Z16&gt;0,'OP Triangle'!AA16/'OP Triangle'!Z16,"")</f>
        <v/>
      </c>
      <c r="AA16" s="10">
        <f>IF('OP Triangle'!AA16&gt;0,'OP Triangle'!AB16/'OP Triangle'!AA16,"")</f>
        <v/>
      </c>
      <c r="AB16" s="11">
        <f>IF('OP Triangle'!AB16&gt;0,'OP Triangle'!AC16/'OP Triangle'!AB16,"")</f>
        <v/>
      </c>
      <c r="AC16" s="11">
        <f>IF('OP Triangle'!AC16&gt;0,'OP Triangle'!AD16/'OP Triangle'!AC16,"")</f>
        <v/>
      </c>
      <c r="AD16" s="10">
        <f>IF('OP Triangle'!AD16&gt;0,'OP Triangle'!AE16/'OP Triangle'!AD16,"")</f>
        <v/>
      </c>
      <c r="AE16" s="10">
        <f>IF('OP Triangle'!AE16&gt;0,'OP Triangle'!AF16/'OP Triangle'!AE16,"")</f>
        <v/>
      </c>
    </row>
    <row r="17">
      <c r="A17" s="6" t="inlineStr">
        <is>
          <t>2024-04</t>
        </is>
      </c>
      <c r="B17" s="10">
        <f>IF('OP Triangle'!B17&gt;0,'OP Triangle'!C17/'OP Triangle'!B17,"")</f>
        <v/>
      </c>
      <c r="C17" s="10">
        <f>IF('OP Triangle'!C17&gt;0,'OP Triangle'!D17/'OP Triangle'!C17,"")</f>
        <v/>
      </c>
      <c r="D17" s="10">
        <f>IF('OP Triangle'!D17&gt;0,'OP Triangle'!E17/'OP Triangle'!D17,"")</f>
        <v/>
      </c>
      <c r="E17" s="10">
        <f>IF('OP Triangle'!E17&gt;0,'OP Triangle'!F17/'OP Triangle'!E17,"")</f>
        <v/>
      </c>
      <c r="F17" s="10">
        <f>IF('OP Triangle'!F17&gt;0,'OP Triangle'!G17/'OP Triangle'!F17,"")</f>
        <v/>
      </c>
      <c r="G17" s="10">
        <f>IF('OP Triangle'!G17&gt;0,'OP Triangle'!H17/'OP Triangle'!G17,"")</f>
        <v/>
      </c>
      <c r="H17" s="10">
        <f>IF('OP Triangle'!H17&gt;0,'OP Triangle'!I17/'OP Triangle'!H17,"")</f>
        <v/>
      </c>
      <c r="I17" s="10">
        <f>IF('OP Triangle'!I17&gt;0,'OP Triangle'!J17/'OP Triangle'!I17,"")</f>
        <v/>
      </c>
      <c r="J17" s="10">
        <f>IF('OP Triangle'!J17&gt;0,'OP Triangle'!K17/'OP Triangle'!J17,"")</f>
        <v/>
      </c>
      <c r="K17" s="10">
        <f>IF('OP Triangle'!K17&gt;0,'OP Triangle'!L17/'OP Triangle'!K17,"")</f>
        <v/>
      </c>
      <c r="L17" s="10">
        <f>IF('OP Triangle'!L17&gt;0,'OP Triangle'!M17/'OP Triangle'!L17,"")</f>
        <v/>
      </c>
      <c r="M17" s="10">
        <f>IF('OP Triangle'!M17&gt;0,'OP Triangle'!N17/'OP Triangle'!M17,"")</f>
        <v/>
      </c>
      <c r="N17" s="10">
        <f>IF('OP Triangle'!N17&gt;0,'OP Triangle'!O17/'OP Triangle'!N17,"")</f>
        <v/>
      </c>
      <c r="O17" s="10">
        <f>IF('OP Triangle'!O17&gt;0,'OP Triangle'!P17/'OP Triangle'!O17,"")</f>
        <v/>
      </c>
      <c r="P17" s="10">
        <f>IF('OP Triangle'!P17&gt;0,'OP Triangle'!Q17/'OP Triangle'!P17,"")</f>
        <v/>
      </c>
      <c r="Q17" s="10">
        <f>IF('OP Triangle'!Q17&gt;0,'OP Triangle'!R17/'OP Triangle'!Q17,"")</f>
        <v/>
      </c>
      <c r="R17" s="10">
        <f>IF('OP Triangle'!R17&gt;0,'OP Triangle'!S17/'OP Triangle'!R17,"")</f>
        <v/>
      </c>
      <c r="S17" s="10">
        <f>IF('OP Triangle'!S17&gt;0,'OP Triangle'!T17/'OP Triangle'!S17,"")</f>
        <v/>
      </c>
      <c r="T17" s="10">
        <f>IF('OP Triangle'!T17&gt;0,'OP Triangle'!U17/'OP Triangle'!T17,"")</f>
        <v/>
      </c>
      <c r="U17" s="10">
        <f>IF('OP Triangle'!U17&gt;0,'OP Triangle'!V17/'OP Triangle'!U17,"")</f>
        <v/>
      </c>
      <c r="V17" s="10">
        <f>IF('OP Triangle'!V17&gt;0,'OP Triangle'!W17/'OP Triangle'!V17,"")</f>
        <v/>
      </c>
      <c r="W17" s="10">
        <f>IF('OP Triangle'!W17&gt;0,'OP Triangle'!X17/'OP Triangle'!W17,"")</f>
        <v/>
      </c>
      <c r="X17" s="10">
        <f>IF('OP Triangle'!X17&gt;0,'OP Triangle'!Y17/'OP Triangle'!X17,"")</f>
        <v/>
      </c>
      <c r="Y17" s="10">
        <f>IF('OP Triangle'!Y17&gt;0,'OP Triangle'!Z17/'OP Triangle'!Y17,"")</f>
        <v/>
      </c>
      <c r="Z17" s="10">
        <f>IF('OP Triangle'!Z17&gt;0,'OP Triangle'!AA17/'OP Triangle'!Z17,"")</f>
        <v/>
      </c>
      <c r="AA17" s="11">
        <f>IF('OP Triangle'!AA17&gt;0,'OP Triangle'!AB17/'OP Triangle'!AA17,"")</f>
        <v/>
      </c>
      <c r="AB17" s="11">
        <f>IF('OP Triangle'!AB17&gt;0,'OP Triangle'!AC17/'OP Triangle'!AB17,"")</f>
        <v/>
      </c>
      <c r="AC17" s="10">
        <f>IF('OP Triangle'!AC17&gt;0,'OP Triangle'!AD17/'OP Triangle'!AC17,"")</f>
        <v/>
      </c>
      <c r="AD17" s="10">
        <f>IF('OP Triangle'!AD17&gt;0,'OP Triangle'!AE17/'OP Triangle'!AD17,"")</f>
        <v/>
      </c>
    </row>
    <row r="18">
      <c r="A18" s="6" t="inlineStr">
        <is>
          <t>2024-05</t>
        </is>
      </c>
      <c r="B18" s="10">
        <f>IF('OP Triangle'!B18&gt;0,'OP Triangle'!C18/'OP Triangle'!B18,"")</f>
        <v/>
      </c>
      <c r="C18" s="10">
        <f>IF('OP Triangle'!C18&gt;0,'OP Triangle'!D18/'OP Triangle'!C18,"")</f>
        <v/>
      </c>
      <c r="D18" s="10">
        <f>IF('OP Triangle'!D18&gt;0,'OP Triangle'!E18/'OP Triangle'!D18,"")</f>
        <v/>
      </c>
      <c r="E18" s="10">
        <f>IF('OP Triangle'!E18&gt;0,'OP Triangle'!F18/'OP Triangle'!E18,"")</f>
        <v/>
      </c>
      <c r="F18" s="10">
        <f>IF('OP Triangle'!F18&gt;0,'OP Triangle'!G18/'OP Triangle'!F18,"")</f>
        <v/>
      </c>
      <c r="G18" s="10">
        <f>IF('OP Triangle'!G18&gt;0,'OP Triangle'!H18/'OP Triangle'!G18,"")</f>
        <v/>
      </c>
      <c r="H18" s="10">
        <f>IF('OP Triangle'!H18&gt;0,'OP Triangle'!I18/'OP Triangle'!H18,"")</f>
        <v/>
      </c>
      <c r="I18" s="10">
        <f>IF('OP Triangle'!I18&gt;0,'OP Triangle'!J18/'OP Triangle'!I18,"")</f>
        <v/>
      </c>
      <c r="J18" s="10">
        <f>IF('OP Triangle'!J18&gt;0,'OP Triangle'!K18/'OP Triangle'!J18,"")</f>
        <v/>
      </c>
      <c r="K18" s="10">
        <f>IF('OP Triangle'!K18&gt;0,'OP Triangle'!L18/'OP Triangle'!K18,"")</f>
        <v/>
      </c>
      <c r="L18" s="10">
        <f>IF('OP Triangle'!L18&gt;0,'OP Triangle'!M18/'OP Triangle'!L18,"")</f>
        <v/>
      </c>
      <c r="M18" s="10">
        <f>IF('OP Triangle'!M18&gt;0,'OP Triangle'!N18/'OP Triangle'!M18,"")</f>
        <v/>
      </c>
      <c r="N18" s="10">
        <f>IF('OP Triangle'!N18&gt;0,'OP Triangle'!O18/'OP Triangle'!N18,"")</f>
        <v/>
      </c>
      <c r="O18" s="10">
        <f>IF('OP Triangle'!O18&gt;0,'OP Triangle'!P18/'OP Triangle'!O18,"")</f>
        <v/>
      </c>
      <c r="P18" s="10">
        <f>IF('OP Triangle'!P18&gt;0,'OP Triangle'!Q18/'OP Triangle'!P18,"")</f>
        <v/>
      </c>
      <c r="Q18" s="10">
        <f>IF('OP Triangle'!Q18&gt;0,'OP Triangle'!R18/'OP Triangle'!Q18,"")</f>
        <v/>
      </c>
      <c r="R18" s="10">
        <f>IF('OP Triangle'!R18&gt;0,'OP Triangle'!S18/'OP Triangle'!R18,"")</f>
        <v/>
      </c>
      <c r="S18" s="10">
        <f>IF('OP Triangle'!S18&gt;0,'OP Triangle'!T18/'OP Triangle'!S18,"")</f>
        <v/>
      </c>
      <c r="T18" s="10">
        <f>IF('OP Triangle'!T18&gt;0,'OP Triangle'!U18/'OP Triangle'!T18,"")</f>
        <v/>
      </c>
      <c r="U18" s="10">
        <f>IF('OP Triangle'!U18&gt;0,'OP Triangle'!V18/'OP Triangle'!U18,"")</f>
        <v/>
      </c>
      <c r="V18" s="10">
        <f>IF('OP Triangle'!V18&gt;0,'OP Triangle'!W18/'OP Triangle'!V18,"")</f>
        <v/>
      </c>
      <c r="W18" s="10">
        <f>IF('OP Triangle'!W18&gt;0,'OP Triangle'!X18/'OP Triangle'!W18,"")</f>
        <v/>
      </c>
      <c r="X18" s="10">
        <f>IF('OP Triangle'!X18&gt;0,'OP Triangle'!Y18/'OP Triangle'!X18,"")</f>
        <v/>
      </c>
      <c r="Y18" s="10">
        <f>IF('OP Triangle'!Y18&gt;0,'OP Triangle'!Z18/'OP Triangle'!Y18,"")</f>
        <v/>
      </c>
      <c r="Z18" s="11">
        <f>IF('OP Triangle'!Z18&gt;0,'OP Triangle'!AA18/'OP Triangle'!Z18,"")</f>
        <v/>
      </c>
      <c r="AA18" s="11">
        <f>IF('OP Triangle'!AA18&gt;0,'OP Triangle'!AB18/'OP Triangle'!AA18,"")</f>
        <v/>
      </c>
      <c r="AB18" s="10">
        <f>IF('OP Triangle'!AB18&gt;0,'OP Triangle'!AC18/'OP Triangle'!AB18,"")</f>
        <v/>
      </c>
      <c r="AC18" s="10">
        <f>IF('OP Triangle'!AC18&gt;0,'OP Triangle'!AD18/'OP Triangle'!AC18,"")</f>
        <v/>
      </c>
    </row>
    <row r="19">
      <c r="A19" s="6" t="inlineStr">
        <is>
          <t>2024-06</t>
        </is>
      </c>
      <c r="B19" s="10">
        <f>IF('OP Triangle'!B19&gt;0,'OP Triangle'!C19/'OP Triangle'!B19,"")</f>
        <v/>
      </c>
      <c r="C19" s="10">
        <f>IF('OP Triangle'!C19&gt;0,'OP Triangle'!D19/'OP Triangle'!C19,"")</f>
        <v/>
      </c>
      <c r="D19" s="10">
        <f>IF('OP Triangle'!D19&gt;0,'OP Triangle'!E19/'OP Triangle'!D19,"")</f>
        <v/>
      </c>
      <c r="E19" s="10">
        <f>IF('OP Triangle'!E19&gt;0,'OP Triangle'!F19/'OP Triangle'!E19,"")</f>
        <v/>
      </c>
      <c r="F19" s="10">
        <f>IF('OP Triangle'!F19&gt;0,'OP Triangle'!G19/'OP Triangle'!F19,"")</f>
        <v/>
      </c>
      <c r="G19" s="10">
        <f>IF('OP Triangle'!G19&gt;0,'OP Triangle'!H19/'OP Triangle'!G19,"")</f>
        <v/>
      </c>
      <c r="H19" s="10">
        <f>IF('OP Triangle'!H19&gt;0,'OP Triangle'!I19/'OP Triangle'!H19,"")</f>
        <v/>
      </c>
      <c r="I19" s="10">
        <f>IF('OP Triangle'!I19&gt;0,'OP Triangle'!J19/'OP Triangle'!I19,"")</f>
        <v/>
      </c>
      <c r="J19" s="10">
        <f>IF('OP Triangle'!J19&gt;0,'OP Triangle'!K19/'OP Triangle'!J19,"")</f>
        <v/>
      </c>
      <c r="K19" s="10">
        <f>IF('OP Triangle'!K19&gt;0,'OP Triangle'!L19/'OP Triangle'!K19,"")</f>
        <v/>
      </c>
      <c r="L19" s="10">
        <f>IF('OP Triangle'!L19&gt;0,'OP Triangle'!M19/'OP Triangle'!L19,"")</f>
        <v/>
      </c>
      <c r="M19" s="10">
        <f>IF('OP Triangle'!M19&gt;0,'OP Triangle'!N19/'OP Triangle'!M19,"")</f>
        <v/>
      </c>
      <c r="N19" s="10">
        <f>IF('OP Triangle'!N19&gt;0,'OP Triangle'!O19/'OP Triangle'!N19,"")</f>
        <v/>
      </c>
      <c r="O19" s="10">
        <f>IF('OP Triangle'!O19&gt;0,'OP Triangle'!P19/'OP Triangle'!O19,"")</f>
        <v/>
      </c>
      <c r="P19" s="10">
        <f>IF('OP Triangle'!P19&gt;0,'OP Triangle'!Q19/'OP Triangle'!P19,"")</f>
        <v/>
      </c>
      <c r="Q19" s="10">
        <f>IF('OP Triangle'!Q19&gt;0,'OP Triangle'!R19/'OP Triangle'!Q19,"")</f>
        <v/>
      </c>
      <c r="R19" s="10">
        <f>IF('OP Triangle'!R19&gt;0,'OP Triangle'!S19/'OP Triangle'!R19,"")</f>
        <v/>
      </c>
      <c r="S19" s="10">
        <f>IF('OP Triangle'!S19&gt;0,'OP Triangle'!T19/'OP Triangle'!S19,"")</f>
        <v/>
      </c>
      <c r="T19" s="10">
        <f>IF('OP Triangle'!T19&gt;0,'OP Triangle'!U19/'OP Triangle'!T19,"")</f>
        <v/>
      </c>
      <c r="U19" s="10">
        <f>IF('OP Triangle'!U19&gt;0,'OP Triangle'!V19/'OP Triangle'!U19,"")</f>
        <v/>
      </c>
      <c r="V19" s="10">
        <f>IF('OP Triangle'!V19&gt;0,'OP Triangle'!W19/'OP Triangle'!V19,"")</f>
        <v/>
      </c>
      <c r="W19" s="10">
        <f>IF('OP Triangle'!W19&gt;0,'OP Triangle'!X19/'OP Triangle'!W19,"")</f>
        <v/>
      </c>
      <c r="X19" s="10">
        <f>IF('OP Triangle'!X19&gt;0,'OP Triangle'!Y19/'OP Triangle'!X19,"")</f>
        <v/>
      </c>
      <c r="Y19" s="11">
        <f>IF('OP Triangle'!Y19&gt;0,'OP Triangle'!Z19/'OP Triangle'!Y19,"")</f>
        <v/>
      </c>
      <c r="Z19" s="11">
        <f>IF('OP Triangle'!Z19&gt;0,'OP Triangle'!AA19/'OP Triangle'!Z19,"")</f>
        <v/>
      </c>
      <c r="AA19" s="10">
        <f>IF('OP Triangle'!AA19&gt;0,'OP Triangle'!AB19/'OP Triangle'!AA19,"")</f>
        <v/>
      </c>
      <c r="AB19" s="10">
        <f>IF('OP Triangle'!AB19&gt;0,'OP Triangle'!AC19/'OP Triangle'!AB19,"")</f>
        <v/>
      </c>
    </row>
    <row r="20">
      <c r="A20" s="6" t="inlineStr">
        <is>
          <t>2024-07</t>
        </is>
      </c>
      <c r="B20" s="10">
        <f>IF('OP Triangle'!B20&gt;0,'OP Triangle'!C20/'OP Triangle'!B20,"")</f>
        <v/>
      </c>
      <c r="C20" s="10">
        <f>IF('OP Triangle'!C20&gt;0,'OP Triangle'!D20/'OP Triangle'!C20,"")</f>
        <v/>
      </c>
      <c r="D20" s="10">
        <f>IF('OP Triangle'!D20&gt;0,'OP Triangle'!E20/'OP Triangle'!D20,"")</f>
        <v/>
      </c>
      <c r="E20" s="10">
        <f>IF('OP Triangle'!E20&gt;0,'OP Triangle'!F20/'OP Triangle'!E20,"")</f>
        <v/>
      </c>
      <c r="F20" s="10">
        <f>IF('OP Triangle'!F20&gt;0,'OP Triangle'!G20/'OP Triangle'!F20,"")</f>
        <v/>
      </c>
      <c r="G20" s="10">
        <f>IF('OP Triangle'!G20&gt;0,'OP Triangle'!H20/'OP Triangle'!G20,"")</f>
        <v/>
      </c>
      <c r="H20" s="10">
        <f>IF('OP Triangle'!H20&gt;0,'OP Triangle'!I20/'OP Triangle'!H20,"")</f>
        <v/>
      </c>
      <c r="I20" s="10">
        <f>IF('OP Triangle'!I20&gt;0,'OP Triangle'!J20/'OP Triangle'!I20,"")</f>
        <v/>
      </c>
      <c r="J20" s="10">
        <f>IF('OP Triangle'!J20&gt;0,'OP Triangle'!K20/'OP Triangle'!J20,"")</f>
        <v/>
      </c>
      <c r="K20" s="10">
        <f>IF('OP Triangle'!K20&gt;0,'OP Triangle'!L20/'OP Triangle'!K20,"")</f>
        <v/>
      </c>
      <c r="L20" s="10">
        <f>IF('OP Triangle'!L20&gt;0,'OP Triangle'!M20/'OP Triangle'!L20,"")</f>
        <v/>
      </c>
      <c r="M20" s="10">
        <f>IF('OP Triangle'!M20&gt;0,'OP Triangle'!N20/'OP Triangle'!M20,"")</f>
        <v/>
      </c>
      <c r="N20" s="10">
        <f>IF('OP Triangle'!N20&gt;0,'OP Triangle'!O20/'OP Triangle'!N20,"")</f>
        <v/>
      </c>
      <c r="O20" s="10">
        <f>IF('OP Triangle'!O20&gt;0,'OP Triangle'!P20/'OP Triangle'!O20,"")</f>
        <v/>
      </c>
      <c r="P20" s="10">
        <f>IF('OP Triangle'!P20&gt;0,'OP Triangle'!Q20/'OP Triangle'!P20,"")</f>
        <v/>
      </c>
      <c r="Q20" s="10">
        <f>IF('OP Triangle'!Q20&gt;0,'OP Triangle'!R20/'OP Triangle'!Q20,"")</f>
        <v/>
      </c>
      <c r="R20" s="10">
        <f>IF('OP Triangle'!R20&gt;0,'OP Triangle'!S20/'OP Triangle'!R20,"")</f>
        <v/>
      </c>
      <c r="S20" s="10">
        <f>IF('OP Triangle'!S20&gt;0,'OP Triangle'!T20/'OP Triangle'!S20,"")</f>
        <v/>
      </c>
      <c r="T20" s="10">
        <f>IF('OP Triangle'!T20&gt;0,'OP Triangle'!U20/'OP Triangle'!T20,"")</f>
        <v/>
      </c>
      <c r="U20" s="10">
        <f>IF('OP Triangle'!U20&gt;0,'OP Triangle'!V20/'OP Triangle'!U20,"")</f>
        <v/>
      </c>
      <c r="V20" s="10">
        <f>IF('OP Triangle'!V20&gt;0,'OP Triangle'!W20/'OP Triangle'!V20,"")</f>
        <v/>
      </c>
      <c r="W20" s="10">
        <f>IF('OP Triangle'!W20&gt;0,'OP Triangle'!X20/'OP Triangle'!W20,"")</f>
        <v/>
      </c>
      <c r="X20" s="11">
        <f>IF('OP Triangle'!X20&gt;0,'OP Triangle'!Y20/'OP Triangle'!X20,"")</f>
        <v/>
      </c>
      <c r="Y20" s="11">
        <f>IF('OP Triangle'!Y20&gt;0,'OP Triangle'!Z20/'OP Triangle'!Y20,"")</f>
        <v/>
      </c>
      <c r="Z20" s="10">
        <f>IF('OP Triangle'!Z20&gt;0,'OP Triangle'!AA20/'OP Triangle'!Z20,"")</f>
        <v/>
      </c>
      <c r="AA20" s="10">
        <f>IF('OP Triangle'!AA20&gt;0,'OP Triangle'!AB20/'OP Triangle'!AA20,"")</f>
        <v/>
      </c>
    </row>
    <row r="21">
      <c r="A21" s="6" t="inlineStr">
        <is>
          <t>2024-08</t>
        </is>
      </c>
      <c r="B21" s="10">
        <f>IF('OP Triangle'!B21&gt;0,'OP Triangle'!C21/'OP Triangle'!B21,"")</f>
        <v/>
      </c>
      <c r="C21" s="10">
        <f>IF('OP Triangle'!C21&gt;0,'OP Triangle'!D21/'OP Triangle'!C21,"")</f>
        <v/>
      </c>
      <c r="D21" s="10">
        <f>IF('OP Triangle'!D21&gt;0,'OP Triangle'!E21/'OP Triangle'!D21,"")</f>
        <v/>
      </c>
      <c r="E21" s="10">
        <f>IF('OP Triangle'!E21&gt;0,'OP Triangle'!F21/'OP Triangle'!E21,"")</f>
        <v/>
      </c>
      <c r="F21" s="10">
        <f>IF('OP Triangle'!F21&gt;0,'OP Triangle'!G21/'OP Triangle'!F21,"")</f>
        <v/>
      </c>
      <c r="G21" s="10">
        <f>IF('OP Triangle'!G21&gt;0,'OP Triangle'!H21/'OP Triangle'!G21,"")</f>
        <v/>
      </c>
      <c r="H21" s="10">
        <f>IF('OP Triangle'!H21&gt;0,'OP Triangle'!I21/'OP Triangle'!H21,"")</f>
        <v/>
      </c>
      <c r="I21" s="10">
        <f>IF('OP Triangle'!I21&gt;0,'OP Triangle'!J21/'OP Triangle'!I21,"")</f>
        <v/>
      </c>
      <c r="J21" s="10">
        <f>IF('OP Triangle'!J21&gt;0,'OP Triangle'!K21/'OP Triangle'!J21,"")</f>
        <v/>
      </c>
      <c r="K21" s="10">
        <f>IF('OP Triangle'!K21&gt;0,'OP Triangle'!L21/'OP Triangle'!K21,"")</f>
        <v/>
      </c>
      <c r="L21" s="10">
        <f>IF('OP Triangle'!L21&gt;0,'OP Triangle'!M21/'OP Triangle'!L21,"")</f>
        <v/>
      </c>
      <c r="M21" s="10">
        <f>IF('OP Triangle'!M21&gt;0,'OP Triangle'!N21/'OP Triangle'!M21,"")</f>
        <v/>
      </c>
      <c r="N21" s="10">
        <f>IF('OP Triangle'!N21&gt;0,'OP Triangle'!O21/'OP Triangle'!N21,"")</f>
        <v/>
      </c>
      <c r="O21" s="10">
        <f>IF('OP Triangle'!O21&gt;0,'OP Triangle'!P21/'OP Triangle'!O21,"")</f>
        <v/>
      </c>
      <c r="P21" s="10">
        <f>IF('OP Triangle'!P21&gt;0,'OP Triangle'!Q21/'OP Triangle'!P21,"")</f>
        <v/>
      </c>
      <c r="Q21" s="10">
        <f>IF('OP Triangle'!Q21&gt;0,'OP Triangle'!R21/'OP Triangle'!Q21,"")</f>
        <v/>
      </c>
      <c r="R21" s="10">
        <f>IF('OP Triangle'!R21&gt;0,'OP Triangle'!S21/'OP Triangle'!R21,"")</f>
        <v/>
      </c>
      <c r="S21" s="10">
        <f>IF('OP Triangle'!S21&gt;0,'OP Triangle'!T21/'OP Triangle'!S21,"")</f>
        <v/>
      </c>
      <c r="T21" s="10">
        <f>IF('OP Triangle'!T21&gt;0,'OP Triangle'!U21/'OP Triangle'!T21,"")</f>
        <v/>
      </c>
      <c r="U21" s="10">
        <f>IF('OP Triangle'!U21&gt;0,'OP Triangle'!V21/'OP Triangle'!U21,"")</f>
        <v/>
      </c>
      <c r="V21" s="10">
        <f>IF('OP Triangle'!V21&gt;0,'OP Triangle'!W21/'OP Triangle'!V21,"")</f>
        <v/>
      </c>
      <c r="W21" s="11">
        <f>IF('OP Triangle'!W21&gt;0,'OP Triangle'!X21/'OP Triangle'!W21,"")</f>
        <v/>
      </c>
      <c r="X21" s="11">
        <f>IF('OP Triangle'!X21&gt;0,'OP Triangle'!Y21/'OP Triangle'!X21,"")</f>
        <v/>
      </c>
      <c r="Y21" s="10">
        <f>IF('OP Triangle'!Y21&gt;0,'OP Triangle'!Z21/'OP Triangle'!Y21,"")</f>
        <v/>
      </c>
      <c r="Z21" s="10">
        <f>IF('OP Triangle'!Z21&gt;0,'OP Triangle'!AA21/'OP Triangle'!Z21,"")</f>
        <v/>
      </c>
    </row>
    <row r="22">
      <c r="A22" s="6" t="inlineStr">
        <is>
          <t>2024-09</t>
        </is>
      </c>
      <c r="B22" s="10">
        <f>IF('OP Triangle'!B22&gt;0,'OP Triangle'!C22/'OP Triangle'!B22,"")</f>
        <v/>
      </c>
      <c r="C22" s="10">
        <f>IF('OP Triangle'!C22&gt;0,'OP Triangle'!D22/'OP Triangle'!C22,"")</f>
        <v/>
      </c>
      <c r="D22" s="10">
        <f>IF('OP Triangle'!D22&gt;0,'OP Triangle'!E22/'OP Triangle'!D22,"")</f>
        <v/>
      </c>
      <c r="E22" s="10">
        <f>IF('OP Triangle'!E22&gt;0,'OP Triangle'!F22/'OP Triangle'!E22,"")</f>
        <v/>
      </c>
      <c r="F22" s="10">
        <f>IF('OP Triangle'!F22&gt;0,'OP Triangle'!G22/'OP Triangle'!F22,"")</f>
        <v/>
      </c>
      <c r="G22" s="10">
        <f>IF('OP Triangle'!G22&gt;0,'OP Triangle'!H22/'OP Triangle'!G22,"")</f>
        <v/>
      </c>
      <c r="H22" s="10">
        <f>IF('OP Triangle'!H22&gt;0,'OP Triangle'!I22/'OP Triangle'!H22,"")</f>
        <v/>
      </c>
      <c r="I22" s="10">
        <f>IF('OP Triangle'!I22&gt;0,'OP Triangle'!J22/'OP Triangle'!I22,"")</f>
        <v/>
      </c>
      <c r="J22" s="10">
        <f>IF('OP Triangle'!J22&gt;0,'OP Triangle'!K22/'OP Triangle'!J22,"")</f>
        <v/>
      </c>
      <c r="K22" s="10">
        <f>IF('OP Triangle'!K22&gt;0,'OP Triangle'!L22/'OP Triangle'!K22,"")</f>
        <v/>
      </c>
      <c r="L22" s="10">
        <f>IF('OP Triangle'!L22&gt;0,'OP Triangle'!M22/'OP Triangle'!L22,"")</f>
        <v/>
      </c>
      <c r="M22" s="10">
        <f>IF('OP Triangle'!M22&gt;0,'OP Triangle'!N22/'OP Triangle'!M22,"")</f>
        <v/>
      </c>
      <c r="N22" s="10">
        <f>IF('OP Triangle'!N22&gt;0,'OP Triangle'!O22/'OP Triangle'!N22,"")</f>
        <v/>
      </c>
      <c r="O22" s="10">
        <f>IF('OP Triangle'!O22&gt;0,'OP Triangle'!P22/'OP Triangle'!O22,"")</f>
        <v/>
      </c>
      <c r="P22" s="10">
        <f>IF('OP Triangle'!P22&gt;0,'OP Triangle'!Q22/'OP Triangle'!P22,"")</f>
        <v/>
      </c>
      <c r="Q22" s="10">
        <f>IF('OP Triangle'!Q22&gt;0,'OP Triangle'!R22/'OP Triangle'!Q22,"")</f>
        <v/>
      </c>
      <c r="R22" s="10">
        <f>IF('OP Triangle'!R22&gt;0,'OP Triangle'!S22/'OP Triangle'!R22,"")</f>
        <v/>
      </c>
      <c r="S22" s="10">
        <f>IF('OP Triangle'!S22&gt;0,'OP Triangle'!T22/'OP Triangle'!S22,"")</f>
        <v/>
      </c>
      <c r="T22" s="10">
        <f>IF('OP Triangle'!T22&gt;0,'OP Triangle'!U22/'OP Triangle'!T22,"")</f>
        <v/>
      </c>
      <c r="U22" s="10">
        <f>IF('OP Triangle'!U22&gt;0,'OP Triangle'!V22/'OP Triangle'!U22,"")</f>
        <v/>
      </c>
      <c r="V22" s="11">
        <f>IF('OP Triangle'!V22&gt;0,'OP Triangle'!W22/'OP Triangle'!V22,"")</f>
        <v/>
      </c>
      <c r="W22" s="11">
        <f>IF('OP Triangle'!W22&gt;0,'OP Triangle'!X22/'OP Triangle'!W22,"")</f>
        <v/>
      </c>
      <c r="X22" s="10">
        <f>IF('OP Triangle'!X22&gt;0,'OP Triangle'!Y22/'OP Triangle'!X22,"")</f>
        <v/>
      </c>
      <c r="Y22" s="10">
        <f>IF('OP Triangle'!Y22&gt;0,'OP Triangle'!Z22/'OP Triangle'!Y22,"")</f>
        <v/>
      </c>
    </row>
    <row r="23">
      <c r="A23" s="6" t="inlineStr">
        <is>
          <t>2024-10</t>
        </is>
      </c>
      <c r="B23" s="10">
        <f>IF('OP Triangle'!B23&gt;0,'OP Triangle'!C23/'OP Triangle'!B23,"")</f>
        <v/>
      </c>
      <c r="C23" s="10">
        <f>IF('OP Triangle'!C23&gt;0,'OP Triangle'!D23/'OP Triangle'!C23,"")</f>
        <v/>
      </c>
      <c r="D23" s="10">
        <f>IF('OP Triangle'!D23&gt;0,'OP Triangle'!E23/'OP Triangle'!D23,"")</f>
        <v/>
      </c>
      <c r="E23" s="10">
        <f>IF('OP Triangle'!E23&gt;0,'OP Triangle'!F23/'OP Triangle'!E23,"")</f>
        <v/>
      </c>
      <c r="F23" s="10">
        <f>IF('OP Triangle'!F23&gt;0,'OP Triangle'!G23/'OP Triangle'!F23,"")</f>
        <v/>
      </c>
      <c r="G23" s="10">
        <f>IF('OP Triangle'!G23&gt;0,'OP Triangle'!H23/'OP Triangle'!G23,"")</f>
        <v/>
      </c>
      <c r="H23" s="10">
        <f>IF('OP Triangle'!H23&gt;0,'OP Triangle'!I23/'OP Triangle'!H23,"")</f>
        <v/>
      </c>
      <c r="I23" s="10">
        <f>IF('OP Triangle'!I23&gt;0,'OP Triangle'!J23/'OP Triangle'!I23,"")</f>
        <v/>
      </c>
      <c r="J23" s="10">
        <f>IF('OP Triangle'!J23&gt;0,'OP Triangle'!K23/'OP Triangle'!J23,"")</f>
        <v/>
      </c>
      <c r="K23" s="10">
        <f>IF('OP Triangle'!K23&gt;0,'OP Triangle'!L23/'OP Triangle'!K23,"")</f>
        <v/>
      </c>
      <c r="L23" s="10">
        <f>IF('OP Triangle'!L23&gt;0,'OP Triangle'!M23/'OP Triangle'!L23,"")</f>
        <v/>
      </c>
      <c r="M23" s="10">
        <f>IF('OP Triangle'!M23&gt;0,'OP Triangle'!N23/'OP Triangle'!M23,"")</f>
        <v/>
      </c>
      <c r="N23" s="10">
        <f>IF('OP Triangle'!N23&gt;0,'OP Triangle'!O23/'OP Triangle'!N23,"")</f>
        <v/>
      </c>
      <c r="O23" s="10">
        <f>IF('OP Triangle'!O23&gt;0,'OP Triangle'!P23/'OP Triangle'!O23,"")</f>
        <v/>
      </c>
      <c r="P23" s="10">
        <f>IF('OP Triangle'!P23&gt;0,'OP Triangle'!Q23/'OP Triangle'!P23,"")</f>
        <v/>
      </c>
      <c r="Q23" s="10">
        <f>IF('OP Triangle'!Q23&gt;0,'OP Triangle'!R23/'OP Triangle'!Q23,"")</f>
        <v/>
      </c>
      <c r="R23" s="10">
        <f>IF('OP Triangle'!R23&gt;0,'OP Triangle'!S23/'OP Triangle'!R23,"")</f>
        <v/>
      </c>
      <c r="S23" s="10">
        <f>IF('OP Triangle'!S23&gt;0,'OP Triangle'!T23/'OP Triangle'!S23,"")</f>
        <v/>
      </c>
      <c r="T23" s="10">
        <f>IF('OP Triangle'!T23&gt;0,'OP Triangle'!U23/'OP Triangle'!T23,"")</f>
        <v/>
      </c>
      <c r="U23" s="11">
        <f>IF('OP Triangle'!U23&gt;0,'OP Triangle'!V23/'OP Triangle'!U23,"")</f>
        <v/>
      </c>
      <c r="V23" s="11">
        <f>IF('OP Triangle'!V23&gt;0,'OP Triangle'!W23/'OP Triangle'!V23,"")</f>
        <v/>
      </c>
      <c r="W23" s="10">
        <f>IF('OP Triangle'!W23&gt;0,'OP Triangle'!X23/'OP Triangle'!W23,"")</f>
        <v/>
      </c>
      <c r="X23" s="10">
        <f>IF('OP Triangle'!X23&gt;0,'OP Triangle'!Y23/'OP Triangle'!X23,"")</f>
        <v/>
      </c>
    </row>
    <row r="24">
      <c r="A24" s="6" t="inlineStr">
        <is>
          <t>2024-11</t>
        </is>
      </c>
      <c r="B24" s="10">
        <f>IF('OP Triangle'!B24&gt;0,'OP Triangle'!C24/'OP Triangle'!B24,"")</f>
        <v/>
      </c>
      <c r="C24" s="10">
        <f>IF('OP Triangle'!C24&gt;0,'OP Triangle'!D24/'OP Triangle'!C24,"")</f>
        <v/>
      </c>
      <c r="D24" s="10">
        <f>IF('OP Triangle'!D24&gt;0,'OP Triangle'!E24/'OP Triangle'!D24,"")</f>
        <v/>
      </c>
      <c r="E24" s="10">
        <f>IF('OP Triangle'!E24&gt;0,'OP Triangle'!F24/'OP Triangle'!E24,"")</f>
        <v/>
      </c>
      <c r="F24" s="10">
        <f>IF('OP Triangle'!F24&gt;0,'OP Triangle'!G24/'OP Triangle'!F24,"")</f>
        <v/>
      </c>
      <c r="G24" s="10">
        <f>IF('OP Triangle'!G24&gt;0,'OP Triangle'!H24/'OP Triangle'!G24,"")</f>
        <v/>
      </c>
      <c r="H24" s="10">
        <f>IF('OP Triangle'!H24&gt;0,'OP Triangle'!I24/'OP Triangle'!H24,"")</f>
        <v/>
      </c>
      <c r="I24" s="10">
        <f>IF('OP Triangle'!I24&gt;0,'OP Triangle'!J24/'OP Triangle'!I24,"")</f>
        <v/>
      </c>
      <c r="J24" s="10">
        <f>IF('OP Triangle'!J24&gt;0,'OP Triangle'!K24/'OP Triangle'!J24,"")</f>
        <v/>
      </c>
      <c r="K24" s="10">
        <f>IF('OP Triangle'!K24&gt;0,'OP Triangle'!L24/'OP Triangle'!K24,"")</f>
        <v/>
      </c>
      <c r="L24" s="10">
        <f>IF('OP Triangle'!L24&gt;0,'OP Triangle'!M24/'OP Triangle'!L24,"")</f>
        <v/>
      </c>
      <c r="M24" s="10">
        <f>IF('OP Triangle'!M24&gt;0,'OP Triangle'!N24/'OP Triangle'!M24,"")</f>
        <v/>
      </c>
      <c r="N24" s="10">
        <f>IF('OP Triangle'!N24&gt;0,'OP Triangle'!O24/'OP Triangle'!N24,"")</f>
        <v/>
      </c>
      <c r="O24" s="10">
        <f>IF('OP Triangle'!O24&gt;0,'OP Triangle'!P24/'OP Triangle'!O24,"")</f>
        <v/>
      </c>
      <c r="P24" s="10">
        <f>IF('OP Triangle'!P24&gt;0,'OP Triangle'!Q24/'OP Triangle'!P24,"")</f>
        <v/>
      </c>
      <c r="Q24" s="10">
        <f>IF('OP Triangle'!Q24&gt;0,'OP Triangle'!R24/'OP Triangle'!Q24,"")</f>
        <v/>
      </c>
      <c r="R24" s="10">
        <f>IF('OP Triangle'!R24&gt;0,'OP Triangle'!S24/'OP Triangle'!R24,"")</f>
        <v/>
      </c>
      <c r="S24" s="10">
        <f>IF('OP Triangle'!S24&gt;0,'OP Triangle'!T24/'OP Triangle'!S24,"")</f>
        <v/>
      </c>
      <c r="T24" s="11">
        <f>IF('OP Triangle'!T24&gt;0,'OP Triangle'!U24/'OP Triangle'!T24,"")</f>
        <v/>
      </c>
      <c r="U24" s="11">
        <f>IF('OP Triangle'!U24&gt;0,'OP Triangle'!V24/'OP Triangle'!U24,"")</f>
        <v/>
      </c>
      <c r="V24" s="10">
        <f>IF('OP Triangle'!V24&gt;0,'OP Triangle'!W24/'OP Triangle'!V24,"")</f>
        <v/>
      </c>
      <c r="W24" s="10">
        <f>IF('OP Triangle'!W24&gt;0,'OP Triangle'!X24/'OP Triangle'!W24,"")</f>
        <v/>
      </c>
    </row>
    <row r="25">
      <c r="A25" s="6" t="inlineStr">
        <is>
          <t>2024-12</t>
        </is>
      </c>
      <c r="B25" s="10">
        <f>IF('OP Triangle'!B25&gt;0,'OP Triangle'!C25/'OP Triangle'!B25,"")</f>
        <v/>
      </c>
      <c r="C25" s="10">
        <f>IF('OP Triangle'!C25&gt;0,'OP Triangle'!D25/'OP Triangle'!C25,"")</f>
        <v/>
      </c>
      <c r="D25" s="10">
        <f>IF('OP Triangle'!D25&gt;0,'OP Triangle'!E25/'OP Triangle'!D25,"")</f>
        <v/>
      </c>
      <c r="E25" s="10">
        <f>IF('OP Triangle'!E25&gt;0,'OP Triangle'!F25/'OP Triangle'!E25,"")</f>
        <v/>
      </c>
      <c r="F25" s="10">
        <f>IF('OP Triangle'!F25&gt;0,'OP Triangle'!G25/'OP Triangle'!F25,"")</f>
        <v/>
      </c>
      <c r="G25" s="10">
        <f>IF('OP Triangle'!G25&gt;0,'OP Triangle'!H25/'OP Triangle'!G25,"")</f>
        <v/>
      </c>
      <c r="H25" s="10">
        <f>IF('OP Triangle'!H25&gt;0,'OP Triangle'!I25/'OP Triangle'!H25,"")</f>
        <v/>
      </c>
      <c r="I25" s="10">
        <f>IF('OP Triangle'!I25&gt;0,'OP Triangle'!J25/'OP Triangle'!I25,"")</f>
        <v/>
      </c>
      <c r="J25" s="10">
        <f>IF('OP Triangle'!J25&gt;0,'OP Triangle'!K25/'OP Triangle'!J25,"")</f>
        <v/>
      </c>
      <c r="K25" s="10">
        <f>IF('OP Triangle'!K25&gt;0,'OP Triangle'!L25/'OP Triangle'!K25,"")</f>
        <v/>
      </c>
      <c r="L25" s="10">
        <f>IF('OP Triangle'!L25&gt;0,'OP Triangle'!M25/'OP Triangle'!L25,"")</f>
        <v/>
      </c>
      <c r="M25" s="10">
        <f>IF('OP Triangle'!M25&gt;0,'OP Triangle'!N25/'OP Triangle'!M25,"")</f>
        <v/>
      </c>
      <c r="N25" s="10">
        <f>IF('OP Triangle'!N25&gt;0,'OP Triangle'!O25/'OP Triangle'!N25,"")</f>
        <v/>
      </c>
      <c r="O25" s="10">
        <f>IF('OP Triangle'!O25&gt;0,'OP Triangle'!P25/'OP Triangle'!O25,"")</f>
        <v/>
      </c>
      <c r="P25" s="10">
        <f>IF('OP Triangle'!P25&gt;0,'OP Triangle'!Q25/'OP Triangle'!P25,"")</f>
        <v/>
      </c>
      <c r="Q25" s="10">
        <f>IF('OP Triangle'!Q25&gt;0,'OP Triangle'!R25/'OP Triangle'!Q25,"")</f>
        <v/>
      </c>
      <c r="R25" s="10">
        <f>IF('OP Triangle'!R25&gt;0,'OP Triangle'!S25/'OP Triangle'!R25,"")</f>
        <v/>
      </c>
      <c r="S25" s="11">
        <f>IF('OP Triangle'!S25&gt;0,'OP Triangle'!T25/'OP Triangle'!S25,"")</f>
        <v/>
      </c>
      <c r="T25" s="11">
        <f>IF('OP Triangle'!T25&gt;0,'OP Triangle'!U25/'OP Triangle'!T25,"")</f>
        <v/>
      </c>
      <c r="U25" s="10">
        <f>IF('OP Triangle'!U25&gt;0,'OP Triangle'!V25/'OP Triangle'!U25,"")</f>
        <v/>
      </c>
      <c r="V25" s="10">
        <f>IF('OP Triangle'!V25&gt;0,'OP Triangle'!W25/'OP Triangle'!V25,"")</f>
        <v/>
      </c>
    </row>
    <row r="26">
      <c r="A26" s="6" t="inlineStr">
        <is>
          <t>2025-01</t>
        </is>
      </c>
      <c r="B26" s="10">
        <f>IF('OP Triangle'!B26&gt;0,'OP Triangle'!C26/'OP Triangle'!B26,"")</f>
        <v/>
      </c>
      <c r="C26" s="10">
        <f>IF('OP Triangle'!C26&gt;0,'OP Triangle'!D26/'OP Triangle'!C26,"")</f>
        <v/>
      </c>
      <c r="D26" s="10">
        <f>IF('OP Triangle'!D26&gt;0,'OP Triangle'!E26/'OP Triangle'!D26,"")</f>
        <v/>
      </c>
      <c r="E26" s="10">
        <f>IF('OP Triangle'!E26&gt;0,'OP Triangle'!F26/'OP Triangle'!E26,"")</f>
        <v/>
      </c>
      <c r="F26" s="10">
        <f>IF('OP Triangle'!F26&gt;0,'OP Triangle'!G26/'OP Triangle'!F26,"")</f>
        <v/>
      </c>
      <c r="G26" s="10">
        <f>IF('OP Triangle'!G26&gt;0,'OP Triangle'!H26/'OP Triangle'!G26,"")</f>
        <v/>
      </c>
      <c r="H26" s="10">
        <f>IF('OP Triangle'!H26&gt;0,'OP Triangle'!I26/'OP Triangle'!H26,"")</f>
        <v/>
      </c>
      <c r="I26" s="10">
        <f>IF('OP Triangle'!I26&gt;0,'OP Triangle'!J26/'OP Triangle'!I26,"")</f>
        <v/>
      </c>
      <c r="J26" s="10">
        <f>IF('OP Triangle'!J26&gt;0,'OP Triangle'!K26/'OP Triangle'!J26,"")</f>
        <v/>
      </c>
      <c r="K26" s="10">
        <f>IF('OP Triangle'!K26&gt;0,'OP Triangle'!L26/'OP Triangle'!K26,"")</f>
        <v/>
      </c>
      <c r="L26" s="10">
        <f>IF('OP Triangle'!L26&gt;0,'OP Triangle'!M26/'OP Triangle'!L26,"")</f>
        <v/>
      </c>
      <c r="M26" s="10">
        <f>IF('OP Triangle'!M26&gt;0,'OP Triangle'!N26/'OP Triangle'!M26,"")</f>
        <v/>
      </c>
      <c r="N26" s="10">
        <f>IF('OP Triangle'!N26&gt;0,'OP Triangle'!O26/'OP Triangle'!N26,"")</f>
        <v/>
      </c>
      <c r="O26" s="10">
        <f>IF('OP Triangle'!O26&gt;0,'OP Triangle'!P26/'OP Triangle'!O26,"")</f>
        <v/>
      </c>
      <c r="P26" s="10">
        <f>IF('OP Triangle'!P26&gt;0,'OP Triangle'!Q26/'OP Triangle'!P26,"")</f>
        <v/>
      </c>
      <c r="Q26" s="10">
        <f>IF('OP Triangle'!Q26&gt;0,'OP Triangle'!R26/'OP Triangle'!Q26,"")</f>
        <v/>
      </c>
      <c r="R26" s="11">
        <f>IF('OP Triangle'!R26&gt;0,'OP Triangle'!S26/'OP Triangle'!R26,"")</f>
        <v/>
      </c>
      <c r="S26" s="11">
        <f>IF('OP Triangle'!S26&gt;0,'OP Triangle'!T26/'OP Triangle'!S26,"")</f>
        <v/>
      </c>
      <c r="T26" s="10">
        <f>IF('OP Triangle'!T26&gt;0,'OP Triangle'!U26/'OP Triangle'!T26,"")</f>
        <v/>
      </c>
      <c r="U26" s="10">
        <f>IF('OP Triangle'!U26&gt;0,'OP Triangle'!V26/'OP Triangle'!U26,"")</f>
        <v/>
      </c>
    </row>
    <row r="27">
      <c r="A27" s="6" t="inlineStr">
        <is>
          <t>2025-02</t>
        </is>
      </c>
      <c r="B27" s="10">
        <f>IF('OP Triangle'!B27&gt;0,'OP Triangle'!C27/'OP Triangle'!B27,"")</f>
        <v/>
      </c>
      <c r="C27" s="10">
        <f>IF('OP Triangle'!C27&gt;0,'OP Triangle'!D27/'OP Triangle'!C27,"")</f>
        <v/>
      </c>
      <c r="D27" s="10">
        <f>IF('OP Triangle'!D27&gt;0,'OP Triangle'!E27/'OP Triangle'!D27,"")</f>
        <v/>
      </c>
      <c r="E27" s="10">
        <f>IF('OP Triangle'!E27&gt;0,'OP Triangle'!F27/'OP Triangle'!E27,"")</f>
        <v/>
      </c>
      <c r="F27" s="10">
        <f>IF('OP Triangle'!F27&gt;0,'OP Triangle'!G27/'OP Triangle'!F27,"")</f>
        <v/>
      </c>
      <c r="G27" s="10">
        <f>IF('OP Triangle'!G27&gt;0,'OP Triangle'!H27/'OP Triangle'!G27,"")</f>
        <v/>
      </c>
      <c r="H27" s="10">
        <f>IF('OP Triangle'!H27&gt;0,'OP Triangle'!I27/'OP Triangle'!H27,"")</f>
        <v/>
      </c>
      <c r="I27" s="10">
        <f>IF('OP Triangle'!I27&gt;0,'OP Triangle'!J27/'OP Triangle'!I27,"")</f>
        <v/>
      </c>
      <c r="J27" s="10">
        <f>IF('OP Triangle'!J27&gt;0,'OP Triangle'!K27/'OP Triangle'!J27,"")</f>
        <v/>
      </c>
      <c r="K27" s="10">
        <f>IF('OP Triangle'!K27&gt;0,'OP Triangle'!L27/'OP Triangle'!K27,"")</f>
        <v/>
      </c>
      <c r="L27" s="10">
        <f>IF('OP Triangle'!L27&gt;0,'OP Triangle'!M27/'OP Triangle'!L27,"")</f>
        <v/>
      </c>
      <c r="M27" s="10">
        <f>IF('OP Triangle'!M27&gt;0,'OP Triangle'!N27/'OP Triangle'!M27,"")</f>
        <v/>
      </c>
      <c r="N27" s="10">
        <f>IF('OP Triangle'!N27&gt;0,'OP Triangle'!O27/'OP Triangle'!N27,"")</f>
        <v/>
      </c>
      <c r="O27" s="10">
        <f>IF('OP Triangle'!O27&gt;0,'OP Triangle'!P27/'OP Triangle'!O27,"")</f>
        <v/>
      </c>
      <c r="P27" s="10">
        <f>IF('OP Triangle'!P27&gt;0,'OP Triangle'!Q27/'OP Triangle'!P27,"")</f>
        <v/>
      </c>
      <c r="Q27" s="11">
        <f>IF('OP Triangle'!Q27&gt;0,'OP Triangle'!R27/'OP Triangle'!Q27,"")</f>
        <v/>
      </c>
      <c r="R27" s="11">
        <f>IF('OP Triangle'!R27&gt;0,'OP Triangle'!S27/'OP Triangle'!R27,"")</f>
        <v/>
      </c>
      <c r="S27" s="10">
        <f>IF('OP Triangle'!S27&gt;0,'OP Triangle'!T27/'OP Triangle'!S27,"")</f>
        <v/>
      </c>
      <c r="T27" s="10">
        <f>IF('OP Triangle'!T27&gt;0,'OP Triangle'!U27/'OP Triangle'!T27,"")</f>
        <v/>
      </c>
    </row>
    <row r="28">
      <c r="A28" s="6" t="inlineStr">
        <is>
          <t>2025-03</t>
        </is>
      </c>
      <c r="B28" s="10">
        <f>IF('OP Triangle'!B28&gt;0,'OP Triangle'!C28/'OP Triangle'!B28,"")</f>
        <v/>
      </c>
      <c r="C28" s="10">
        <f>IF('OP Triangle'!C28&gt;0,'OP Triangle'!D28/'OP Triangle'!C28,"")</f>
        <v/>
      </c>
      <c r="D28" s="10">
        <f>IF('OP Triangle'!D28&gt;0,'OP Triangle'!E28/'OP Triangle'!D28,"")</f>
        <v/>
      </c>
      <c r="E28" s="10">
        <f>IF('OP Triangle'!E28&gt;0,'OP Triangle'!F28/'OP Triangle'!E28,"")</f>
        <v/>
      </c>
      <c r="F28" s="10">
        <f>IF('OP Triangle'!F28&gt;0,'OP Triangle'!G28/'OP Triangle'!F28,"")</f>
        <v/>
      </c>
      <c r="G28" s="10">
        <f>IF('OP Triangle'!G28&gt;0,'OP Triangle'!H28/'OP Triangle'!G28,"")</f>
        <v/>
      </c>
      <c r="H28" s="10">
        <f>IF('OP Triangle'!H28&gt;0,'OP Triangle'!I28/'OP Triangle'!H28,"")</f>
        <v/>
      </c>
      <c r="I28" s="10">
        <f>IF('OP Triangle'!I28&gt;0,'OP Triangle'!J28/'OP Triangle'!I28,"")</f>
        <v/>
      </c>
      <c r="J28" s="10">
        <f>IF('OP Triangle'!J28&gt;0,'OP Triangle'!K28/'OP Triangle'!J28,"")</f>
        <v/>
      </c>
      <c r="K28" s="10">
        <f>IF('OP Triangle'!K28&gt;0,'OP Triangle'!L28/'OP Triangle'!K28,"")</f>
        <v/>
      </c>
      <c r="L28" s="10">
        <f>IF('OP Triangle'!L28&gt;0,'OP Triangle'!M28/'OP Triangle'!L28,"")</f>
        <v/>
      </c>
      <c r="M28" s="10">
        <f>IF('OP Triangle'!M28&gt;0,'OP Triangle'!N28/'OP Triangle'!M28,"")</f>
        <v/>
      </c>
      <c r="N28" s="10">
        <f>IF('OP Triangle'!N28&gt;0,'OP Triangle'!O28/'OP Triangle'!N28,"")</f>
        <v/>
      </c>
      <c r="O28" s="10">
        <f>IF('OP Triangle'!O28&gt;0,'OP Triangle'!P28/'OP Triangle'!O28,"")</f>
        <v/>
      </c>
      <c r="P28" s="11">
        <f>IF('OP Triangle'!P28&gt;0,'OP Triangle'!Q28/'OP Triangle'!P28,"")</f>
        <v/>
      </c>
      <c r="Q28" s="11">
        <f>IF('OP Triangle'!Q28&gt;0,'OP Triangle'!R28/'OP Triangle'!Q28,"")</f>
        <v/>
      </c>
      <c r="R28" s="10">
        <f>IF('OP Triangle'!R28&gt;0,'OP Triangle'!S28/'OP Triangle'!R28,"")</f>
        <v/>
      </c>
      <c r="S28" s="10">
        <f>IF('OP Triangle'!S28&gt;0,'OP Triangle'!T28/'OP Triangle'!S28,"")</f>
        <v/>
      </c>
    </row>
    <row r="29">
      <c r="A29" s="6" t="inlineStr">
        <is>
          <t>2025-04</t>
        </is>
      </c>
      <c r="B29" s="10">
        <f>IF('OP Triangle'!B29&gt;0,'OP Triangle'!C29/'OP Triangle'!B29,"")</f>
        <v/>
      </c>
      <c r="C29" s="10">
        <f>IF('OP Triangle'!C29&gt;0,'OP Triangle'!D29/'OP Triangle'!C29,"")</f>
        <v/>
      </c>
      <c r="D29" s="10">
        <f>IF('OP Triangle'!D29&gt;0,'OP Triangle'!E29/'OP Triangle'!D29,"")</f>
        <v/>
      </c>
      <c r="E29" s="10">
        <f>IF('OP Triangle'!E29&gt;0,'OP Triangle'!F29/'OP Triangle'!E29,"")</f>
        <v/>
      </c>
      <c r="F29" s="10">
        <f>IF('OP Triangle'!F29&gt;0,'OP Triangle'!G29/'OP Triangle'!F29,"")</f>
        <v/>
      </c>
      <c r="G29" s="10">
        <f>IF('OP Triangle'!G29&gt;0,'OP Triangle'!H29/'OP Triangle'!G29,"")</f>
        <v/>
      </c>
      <c r="H29" s="10">
        <f>IF('OP Triangle'!H29&gt;0,'OP Triangle'!I29/'OP Triangle'!H29,"")</f>
        <v/>
      </c>
      <c r="I29" s="10">
        <f>IF('OP Triangle'!I29&gt;0,'OP Triangle'!J29/'OP Triangle'!I29,"")</f>
        <v/>
      </c>
      <c r="J29" s="10">
        <f>IF('OP Triangle'!J29&gt;0,'OP Triangle'!K29/'OP Triangle'!J29,"")</f>
        <v/>
      </c>
      <c r="K29" s="10">
        <f>IF('OP Triangle'!K29&gt;0,'OP Triangle'!L29/'OP Triangle'!K29,"")</f>
        <v/>
      </c>
      <c r="L29" s="10">
        <f>IF('OP Triangle'!L29&gt;0,'OP Triangle'!M29/'OP Triangle'!L29,"")</f>
        <v/>
      </c>
      <c r="M29" s="10">
        <f>IF('OP Triangle'!M29&gt;0,'OP Triangle'!N29/'OP Triangle'!M29,"")</f>
        <v/>
      </c>
      <c r="N29" s="10">
        <f>IF('OP Triangle'!N29&gt;0,'OP Triangle'!O29/'OP Triangle'!N29,"")</f>
        <v/>
      </c>
      <c r="O29" s="11">
        <f>IF('OP Triangle'!O29&gt;0,'OP Triangle'!P29/'OP Triangle'!O29,"")</f>
        <v/>
      </c>
      <c r="P29" s="11">
        <f>IF('OP Triangle'!P29&gt;0,'OP Triangle'!Q29/'OP Triangle'!P29,"")</f>
        <v/>
      </c>
      <c r="Q29" s="10">
        <f>IF('OP Triangle'!Q29&gt;0,'OP Triangle'!R29/'OP Triangle'!Q29,"")</f>
        <v/>
      </c>
      <c r="R29" s="10">
        <f>IF('OP Triangle'!R29&gt;0,'OP Triangle'!S29/'OP Triangle'!R29,"")</f>
        <v/>
      </c>
    </row>
    <row r="30">
      <c r="A30" s="6" t="inlineStr">
        <is>
          <t>2025-05</t>
        </is>
      </c>
      <c r="B30" s="10">
        <f>IF('OP Triangle'!B30&gt;0,'OP Triangle'!C30/'OP Triangle'!B30,"")</f>
        <v/>
      </c>
      <c r="C30" s="10">
        <f>IF('OP Triangle'!C30&gt;0,'OP Triangle'!D30/'OP Triangle'!C30,"")</f>
        <v/>
      </c>
      <c r="D30" s="10">
        <f>IF('OP Triangle'!D30&gt;0,'OP Triangle'!E30/'OP Triangle'!D30,"")</f>
        <v/>
      </c>
      <c r="E30" s="10">
        <f>IF('OP Triangle'!E30&gt;0,'OP Triangle'!F30/'OP Triangle'!E30,"")</f>
        <v/>
      </c>
      <c r="F30" s="10">
        <f>IF('OP Triangle'!F30&gt;0,'OP Triangle'!G30/'OP Triangle'!F30,"")</f>
        <v/>
      </c>
      <c r="G30" s="10">
        <f>IF('OP Triangle'!G30&gt;0,'OP Triangle'!H30/'OP Triangle'!G30,"")</f>
        <v/>
      </c>
      <c r="H30" s="10">
        <f>IF('OP Triangle'!H30&gt;0,'OP Triangle'!I30/'OP Triangle'!H30,"")</f>
        <v/>
      </c>
      <c r="I30" s="10">
        <f>IF('OP Triangle'!I30&gt;0,'OP Triangle'!J30/'OP Triangle'!I30,"")</f>
        <v/>
      </c>
      <c r="J30" s="10">
        <f>IF('OP Triangle'!J30&gt;0,'OP Triangle'!K30/'OP Triangle'!J30,"")</f>
        <v/>
      </c>
      <c r="K30" s="10">
        <f>IF('OP Triangle'!K30&gt;0,'OP Triangle'!L30/'OP Triangle'!K30,"")</f>
        <v/>
      </c>
      <c r="L30" s="10">
        <f>IF('OP Triangle'!L30&gt;0,'OP Triangle'!M30/'OP Triangle'!L30,"")</f>
        <v/>
      </c>
      <c r="M30" s="10">
        <f>IF('OP Triangle'!M30&gt;0,'OP Triangle'!N30/'OP Triangle'!M30,"")</f>
        <v/>
      </c>
      <c r="N30" s="11">
        <f>IF('OP Triangle'!N30&gt;0,'OP Triangle'!O30/'OP Triangle'!N30,"")</f>
        <v/>
      </c>
      <c r="O30" s="11">
        <f>IF('OP Triangle'!O30&gt;0,'OP Triangle'!P30/'OP Triangle'!O30,"")</f>
        <v/>
      </c>
      <c r="P30" s="10">
        <f>IF('OP Triangle'!P30&gt;0,'OP Triangle'!Q30/'OP Triangle'!P30,"")</f>
        <v/>
      </c>
      <c r="Q30" s="10">
        <f>IF('OP Triangle'!Q30&gt;0,'OP Triangle'!R30/'OP Triangle'!Q30,"")</f>
        <v/>
      </c>
    </row>
    <row r="31">
      <c r="A31" s="6" t="inlineStr">
        <is>
          <t>2025-06</t>
        </is>
      </c>
      <c r="B31" s="10">
        <f>IF('OP Triangle'!B31&gt;0,'OP Triangle'!C31/'OP Triangle'!B31,"")</f>
        <v/>
      </c>
      <c r="C31" s="10">
        <f>IF('OP Triangle'!C31&gt;0,'OP Triangle'!D31/'OP Triangle'!C31,"")</f>
        <v/>
      </c>
      <c r="D31" s="10">
        <f>IF('OP Triangle'!D31&gt;0,'OP Triangle'!E31/'OP Triangle'!D31,"")</f>
        <v/>
      </c>
      <c r="E31" s="10">
        <f>IF('OP Triangle'!E31&gt;0,'OP Triangle'!F31/'OP Triangle'!E31,"")</f>
        <v/>
      </c>
      <c r="F31" s="10">
        <f>IF('OP Triangle'!F31&gt;0,'OP Triangle'!G31/'OP Triangle'!F31,"")</f>
        <v/>
      </c>
      <c r="G31" s="10">
        <f>IF('OP Triangle'!G31&gt;0,'OP Triangle'!H31/'OP Triangle'!G31,"")</f>
        <v/>
      </c>
      <c r="H31" s="10">
        <f>IF('OP Triangle'!H31&gt;0,'OP Triangle'!I31/'OP Triangle'!H31,"")</f>
        <v/>
      </c>
      <c r="I31" s="10">
        <f>IF('OP Triangle'!I31&gt;0,'OP Triangle'!J31/'OP Triangle'!I31,"")</f>
        <v/>
      </c>
      <c r="J31" s="10">
        <f>IF('OP Triangle'!J31&gt;0,'OP Triangle'!K31/'OP Triangle'!J31,"")</f>
        <v/>
      </c>
      <c r="K31" s="10">
        <f>IF('OP Triangle'!K31&gt;0,'OP Triangle'!L31/'OP Triangle'!K31,"")</f>
        <v/>
      </c>
      <c r="L31" s="10">
        <f>IF('OP Triangle'!L31&gt;0,'OP Triangle'!M31/'OP Triangle'!L31,"")</f>
        <v/>
      </c>
      <c r="M31" s="11">
        <f>IF('OP Triangle'!M31&gt;0,'OP Triangle'!N31/'OP Triangle'!M31,"")</f>
        <v/>
      </c>
      <c r="N31" s="11">
        <f>IF('OP Triangle'!N31&gt;0,'OP Triangle'!O31/'OP Triangle'!N31,"")</f>
        <v/>
      </c>
      <c r="O31" s="10">
        <f>IF('OP Triangle'!O31&gt;0,'OP Triangle'!P31/'OP Triangle'!O31,"")</f>
        <v/>
      </c>
      <c r="P31" s="10">
        <f>IF('OP Triangle'!P31&gt;0,'OP Triangle'!Q31/'OP Triangle'!P31,"")</f>
        <v/>
      </c>
    </row>
    <row r="32">
      <c r="A32" s="6" t="inlineStr">
        <is>
          <t>2025-07</t>
        </is>
      </c>
      <c r="B32" s="10">
        <f>IF('OP Triangle'!B32&gt;0,'OP Triangle'!C32/'OP Triangle'!B32,"")</f>
        <v/>
      </c>
      <c r="C32" s="10">
        <f>IF('OP Triangle'!C32&gt;0,'OP Triangle'!D32/'OP Triangle'!C32,"")</f>
        <v/>
      </c>
      <c r="D32" s="10">
        <f>IF('OP Triangle'!D32&gt;0,'OP Triangle'!E32/'OP Triangle'!D32,"")</f>
        <v/>
      </c>
      <c r="E32" s="10">
        <f>IF('OP Triangle'!E32&gt;0,'OP Triangle'!F32/'OP Triangle'!E32,"")</f>
        <v/>
      </c>
      <c r="F32" s="10">
        <f>IF('OP Triangle'!F32&gt;0,'OP Triangle'!G32/'OP Triangle'!F32,"")</f>
        <v/>
      </c>
      <c r="G32" s="10">
        <f>IF('OP Triangle'!G32&gt;0,'OP Triangle'!H32/'OP Triangle'!G32,"")</f>
        <v/>
      </c>
      <c r="H32" s="10">
        <f>IF('OP Triangle'!H32&gt;0,'OP Triangle'!I32/'OP Triangle'!H32,"")</f>
        <v/>
      </c>
      <c r="I32" s="10">
        <f>IF('OP Triangle'!I32&gt;0,'OP Triangle'!J32/'OP Triangle'!I32,"")</f>
        <v/>
      </c>
      <c r="J32" s="10">
        <f>IF('OP Triangle'!J32&gt;0,'OP Triangle'!K32/'OP Triangle'!J32,"")</f>
        <v/>
      </c>
      <c r="K32" s="10">
        <f>IF('OP Triangle'!K32&gt;0,'OP Triangle'!L32/'OP Triangle'!K32,"")</f>
        <v/>
      </c>
      <c r="L32" s="11">
        <f>IF('OP Triangle'!L32&gt;0,'OP Triangle'!M32/'OP Triangle'!L32,"")</f>
        <v/>
      </c>
      <c r="M32" s="11">
        <f>IF('OP Triangle'!M32&gt;0,'OP Triangle'!N32/'OP Triangle'!M32,"")</f>
        <v/>
      </c>
      <c r="N32" s="10">
        <f>IF('OP Triangle'!N32&gt;0,'OP Triangle'!O32/'OP Triangle'!N32,"")</f>
        <v/>
      </c>
      <c r="O32" s="10">
        <f>IF('OP Triangle'!O32&gt;0,'OP Triangle'!P32/'OP Triangle'!O32,"")</f>
        <v/>
      </c>
    </row>
    <row r="33">
      <c r="A33" s="6" t="inlineStr">
        <is>
          <t>2025-08</t>
        </is>
      </c>
      <c r="B33" s="10">
        <f>IF('OP Triangle'!B33&gt;0,'OP Triangle'!C33/'OP Triangle'!B33,"")</f>
        <v/>
      </c>
      <c r="C33" s="10">
        <f>IF('OP Triangle'!C33&gt;0,'OP Triangle'!D33/'OP Triangle'!C33,"")</f>
        <v/>
      </c>
      <c r="D33" s="10">
        <f>IF('OP Triangle'!D33&gt;0,'OP Triangle'!E33/'OP Triangle'!D33,"")</f>
        <v/>
      </c>
      <c r="E33" s="10">
        <f>IF('OP Triangle'!E33&gt;0,'OP Triangle'!F33/'OP Triangle'!E33,"")</f>
        <v/>
      </c>
      <c r="F33" s="10">
        <f>IF('OP Triangle'!F33&gt;0,'OP Triangle'!G33/'OP Triangle'!F33,"")</f>
        <v/>
      </c>
      <c r="G33" s="10">
        <f>IF('OP Triangle'!G33&gt;0,'OP Triangle'!H33/'OP Triangle'!G33,"")</f>
        <v/>
      </c>
      <c r="H33" s="10">
        <f>IF('OP Triangle'!H33&gt;0,'OP Triangle'!I33/'OP Triangle'!H33,"")</f>
        <v/>
      </c>
      <c r="I33" s="10">
        <f>IF('OP Triangle'!I33&gt;0,'OP Triangle'!J33/'OP Triangle'!I33,"")</f>
        <v/>
      </c>
      <c r="J33" s="10">
        <f>IF('OP Triangle'!J33&gt;0,'OP Triangle'!K33/'OP Triangle'!J33,"")</f>
        <v/>
      </c>
      <c r="K33" s="11">
        <f>IF('OP Triangle'!K33&gt;0,'OP Triangle'!L33/'OP Triangle'!K33,"")</f>
        <v/>
      </c>
      <c r="L33" s="11">
        <f>IF('OP Triangle'!L33&gt;0,'OP Triangle'!M33/'OP Triangle'!L33,"")</f>
        <v/>
      </c>
      <c r="M33" s="10">
        <f>IF('OP Triangle'!M33&gt;0,'OP Triangle'!N33/'OP Triangle'!M33,"")</f>
        <v/>
      </c>
      <c r="N33" s="10">
        <f>IF('OP Triangle'!N33&gt;0,'OP Triangle'!O33/'OP Triangle'!N33,"")</f>
        <v/>
      </c>
    </row>
    <row r="34">
      <c r="A34" s="6" t="inlineStr">
        <is>
          <t>2025-09</t>
        </is>
      </c>
      <c r="B34" s="10">
        <f>IF('OP Triangle'!B34&gt;0,'OP Triangle'!C34/'OP Triangle'!B34,"")</f>
        <v/>
      </c>
      <c r="C34" s="10">
        <f>IF('OP Triangle'!C34&gt;0,'OP Triangle'!D34/'OP Triangle'!C34,"")</f>
        <v/>
      </c>
      <c r="D34" s="10">
        <f>IF('OP Triangle'!D34&gt;0,'OP Triangle'!E34/'OP Triangle'!D34,"")</f>
        <v/>
      </c>
      <c r="E34" s="10">
        <f>IF('OP Triangle'!E34&gt;0,'OP Triangle'!F34/'OP Triangle'!E34,"")</f>
        <v/>
      </c>
      <c r="F34" s="10">
        <f>IF('OP Triangle'!F34&gt;0,'OP Triangle'!G34/'OP Triangle'!F34,"")</f>
        <v/>
      </c>
      <c r="G34" s="10">
        <f>IF('OP Triangle'!G34&gt;0,'OP Triangle'!H34/'OP Triangle'!G34,"")</f>
        <v/>
      </c>
      <c r="H34" s="10">
        <f>IF('OP Triangle'!H34&gt;0,'OP Triangle'!I34/'OP Triangle'!H34,"")</f>
        <v/>
      </c>
      <c r="I34" s="10">
        <f>IF('OP Triangle'!I34&gt;0,'OP Triangle'!J34/'OP Triangle'!I34,"")</f>
        <v/>
      </c>
      <c r="J34" s="11">
        <f>IF('OP Triangle'!J34&gt;0,'OP Triangle'!K34/'OP Triangle'!J34,"")</f>
        <v/>
      </c>
      <c r="K34" s="11">
        <f>IF('OP Triangle'!K34&gt;0,'OP Triangle'!L34/'OP Triangle'!K34,"")</f>
        <v/>
      </c>
      <c r="L34" s="10">
        <f>IF('OP Triangle'!L34&gt;0,'OP Triangle'!M34/'OP Triangle'!L34,"")</f>
        <v/>
      </c>
      <c r="M34" s="10">
        <f>IF('OP Triangle'!M34&gt;0,'OP Triangle'!N34/'OP Triangle'!M34,"")</f>
        <v/>
      </c>
    </row>
    <row r="35">
      <c r="A35" s="6" t="inlineStr">
        <is>
          <t>2025-10</t>
        </is>
      </c>
      <c r="B35" s="10">
        <f>IF('OP Triangle'!B35&gt;0,'OP Triangle'!C35/'OP Triangle'!B35,"")</f>
        <v/>
      </c>
      <c r="C35" s="10">
        <f>IF('OP Triangle'!C35&gt;0,'OP Triangle'!D35/'OP Triangle'!C35,"")</f>
        <v/>
      </c>
      <c r="D35" s="10">
        <f>IF('OP Triangle'!D35&gt;0,'OP Triangle'!E35/'OP Triangle'!D35,"")</f>
        <v/>
      </c>
      <c r="E35" s="10">
        <f>IF('OP Triangle'!E35&gt;0,'OP Triangle'!F35/'OP Triangle'!E35,"")</f>
        <v/>
      </c>
      <c r="F35" s="10">
        <f>IF('OP Triangle'!F35&gt;0,'OP Triangle'!G35/'OP Triangle'!F35,"")</f>
        <v/>
      </c>
      <c r="G35" s="10">
        <f>IF('OP Triangle'!G35&gt;0,'OP Triangle'!H35/'OP Triangle'!G35,"")</f>
        <v/>
      </c>
      <c r="H35" s="10">
        <f>IF('OP Triangle'!H35&gt;0,'OP Triangle'!I35/'OP Triangle'!H35,"")</f>
        <v/>
      </c>
      <c r="I35" s="11">
        <f>IF('OP Triangle'!I35&gt;0,'OP Triangle'!J35/'OP Triangle'!I35,"")</f>
        <v/>
      </c>
      <c r="J35" s="11">
        <f>IF('OP Triangle'!J35&gt;0,'OP Triangle'!K35/'OP Triangle'!J35,"")</f>
        <v/>
      </c>
      <c r="K35" s="10">
        <f>IF('OP Triangle'!K35&gt;0,'OP Triangle'!L35/'OP Triangle'!K35,"")</f>
        <v/>
      </c>
      <c r="L35" s="10">
        <f>IF('OP Triangle'!L35&gt;0,'OP Triangle'!M35/'OP Triangle'!L35,"")</f>
        <v/>
      </c>
    </row>
    <row r="36">
      <c r="A36" s="6" t="inlineStr">
        <is>
          <t>2025-11</t>
        </is>
      </c>
      <c r="B36" s="10">
        <f>IF('OP Triangle'!B36&gt;0,'OP Triangle'!C36/'OP Triangle'!B36,"")</f>
        <v/>
      </c>
      <c r="C36" s="10">
        <f>IF('OP Triangle'!C36&gt;0,'OP Triangle'!D36/'OP Triangle'!C36,"")</f>
        <v/>
      </c>
      <c r="D36" s="10">
        <f>IF('OP Triangle'!D36&gt;0,'OP Triangle'!E36/'OP Triangle'!D36,"")</f>
        <v/>
      </c>
      <c r="E36" s="10">
        <f>IF('OP Triangle'!E36&gt;0,'OP Triangle'!F36/'OP Triangle'!E36,"")</f>
        <v/>
      </c>
      <c r="F36" s="10">
        <f>IF('OP Triangle'!F36&gt;0,'OP Triangle'!G36/'OP Triangle'!F36,"")</f>
        <v/>
      </c>
      <c r="G36" s="10">
        <f>IF('OP Triangle'!G36&gt;0,'OP Triangle'!H36/'OP Triangle'!G36,"")</f>
        <v/>
      </c>
      <c r="H36" s="11">
        <f>IF('OP Triangle'!H36&gt;0,'OP Triangle'!I36/'OP Triangle'!H36,"")</f>
        <v/>
      </c>
      <c r="I36" s="11">
        <f>IF('OP Triangle'!I36&gt;0,'OP Triangle'!J36/'OP Triangle'!I36,"")</f>
        <v/>
      </c>
      <c r="J36" s="10">
        <f>IF('OP Triangle'!J36&gt;0,'OP Triangle'!K36/'OP Triangle'!J36,"")</f>
        <v/>
      </c>
      <c r="K36" s="10">
        <f>IF('OP Triangle'!K36&gt;0,'OP Triangle'!L36/'OP Triangle'!K36,"")</f>
        <v/>
      </c>
    </row>
    <row r="37">
      <c r="A37" s="6" t="inlineStr">
        <is>
          <t>2025-12</t>
        </is>
      </c>
      <c r="B37" s="10">
        <f>IF('OP Triangle'!B37&gt;0,'OP Triangle'!C37/'OP Triangle'!B37,"")</f>
        <v/>
      </c>
      <c r="C37" s="10">
        <f>IF('OP Triangle'!C37&gt;0,'OP Triangle'!D37/'OP Triangle'!C37,"")</f>
        <v/>
      </c>
      <c r="D37" s="10">
        <f>IF('OP Triangle'!D37&gt;0,'OP Triangle'!E37/'OP Triangle'!D37,"")</f>
        <v/>
      </c>
      <c r="E37" s="10">
        <f>IF('OP Triangle'!E37&gt;0,'OP Triangle'!F37/'OP Triangle'!E37,"")</f>
        <v/>
      </c>
      <c r="F37" s="10">
        <f>IF('OP Triangle'!F37&gt;0,'OP Triangle'!G37/'OP Triangle'!F37,"")</f>
        <v/>
      </c>
      <c r="G37" s="11">
        <f>IF('OP Triangle'!G37&gt;0,'OP Triangle'!H37/'OP Triangle'!G37,"")</f>
        <v/>
      </c>
      <c r="H37" s="11">
        <f>IF('OP Triangle'!H37&gt;0,'OP Triangle'!I37/'OP Triangle'!H37,"")</f>
        <v/>
      </c>
      <c r="I37" s="10">
        <f>IF('OP Triangle'!I37&gt;0,'OP Triangle'!J37/'OP Triangle'!I37,"")</f>
        <v/>
      </c>
      <c r="J37" s="10">
        <f>IF('OP Triangle'!J37&gt;0,'OP Triangle'!K37/'OP Triangle'!J37,"")</f>
        <v/>
      </c>
    </row>
    <row r="38">
      <c r="A38" s="6" t="inlineStr">
        <is>
          <t>2026-01</t>
        </is>
      </c>
      <c r="B38" s="10">
        <f>IF('OP Triangle'!B38&gt;0,'OP Triangle'!C38/'OP Triangle'!B38,"")</f>
        <v/>
      </c>
      <c r="C38" s="10">
        <f>IF('OP Triangle'!C38&gt;0,'OP Triangle'!D38/'OP Triangle'!C38,"")</f>
        <v/>
      </c>
      <c r="D38" s="10">
        <f>IF('OP Triangle'!D38&gt;0,'OP Triangle'!E38/'OP Triangle'!D38,"")</f>
        <v/>
      </c>
      <c r="E38" s="10">
        <f>IF('OP Triangle'!E38&gt;0,'OP Triangle'!F38/'OP Triangle'!E38,"")</f>
        <v/>
      </c>
      <c r="F38" s="11">
        <f>IF('OP Triangle'!F38&gt;0,'OP Triangle'!G38/'OP Triangle'!F38,"")</f>
        <v/>
      </c>
      <c r="G38" s="11">
        <f>IF('OP Triangle'!G38&gt;0,'OP Triangle'!H38/'OP Triangle'!G38,"")</f>
        <v/>
      </c>
      <c r="H38" s="10">
        <f>IF('OP Triangle'!H38&gt;0,'OP Triangle'!I38/'OP Triangle'!H38,"")</f>
        <v/>
      </c>
      <c r="I38" s="10">
        <f>IF('OP Triangle'!I38&gt;0,'OP Triangle'!J38/'OP Triangle'!I38,"")</f>
        <v/>
      </c>
    </row>
    <row r="39">
      <c r="A39" s="6" t="inlineStr">
        <is>
          <t>2026-02</t>
        </is>
      </c>
      <c r="B39" s="10">
        <f>IF('OP Triangle'!B39&gt;0,'OP Triangle'!C39/'OP Triangle'!B39,"")</f>
        <v/>
      </c>
      <c r="C39" s="10">
        <f>IF('OP Triangle'!C39&gt;0,'OP Triangle'!D39/'OP Triangle'!C39,"")</f>
        <v/>
      </c>
      <c r="D39" s="10">
        <f>IF('OP Triangle'!D39&gt;0,'OP Triangle'!E39/'OP Triangle'!D39,"")</f>
        <v/>
      </c>
      <c r="E39" s="11">
        <f>IF('OP Triangle'!E39&gt;0,'OP Triangle'!F39/'OP Triangle'!E39,"")</f>
        <v/>
      </c>
      <c r="F39" s="11">
        <f>IF('OP Triangle'!F39&gt;0,'OP Triangle'!G39/'OP Triangle'!F39,"")</f>
        <v/>
      </c>
      <c r="G39" s="10">
        <f>IF('OP Triangle'!G39&gt;0,'OP Triangle'!H39/'OP Triangle'!G39,"")</f>
        <v/>
      </c>
      <c r="H39" s="10">
        <f>IF('OP Triangle'!H39&gt;0,'OP Triangle'!I39/'OP Triangle'!H39,"")</f>
        <v/>
      </c>
    </row>
    <row r="40">
      <c r="A40" s="6" t="inlineStr">
        <is>
          <t>2026-03</t>
        </is>
      </c>
      <c r="B40" s="10">
        <f>IF('OP Triangle'!B40&gt;0,'OP Triangle'!C40/'OP Triangle'!B40,"")</f>
        <v/>
      </c>
      <c r="C40" s="10">
        <f>IF('OP Triangle'!C40&gt;0,'OP Triangle'!D40/'OP Triangle'!C40,"")</f>
        <v/>
      </c>
      <c r="D40" s="11">
        <f>IF('OP Triangle'!D40&gt;0,'OP Triangle'!E40/'OP Triangle'!D40,"")</f>
        <v/>
      </c>
      <c r="E40" s="11">
        <f>IF('OP Triangle'!E40&gt;0,'OP Triangle'!F40/'OP Triangle'!E40,"")</f>
        <v/>
      </c>
      <c r="F40" s="10">
        <f>IF('OP Triangle'!F40&gt;0,'OP Triangle'!G40/'OP Triangle'!F40,"")</f>
        <v/>
      </c>
      <c r="G40" s="10">
        <f>IF('OP Triangle'!G40&gt;0,'OP Triangle'!H40/'OP Triangle'!G40,"")</f>
        <v/>
      </c>
    </row>
    <row r="41">
      <c r="A41" s="6" t="inlineStr">
        <is>
          <t>2026-04</t>
        </is>
      </c>
      <c r="B41" s="10">
        <f>IF('OP Triangle'!B41&gt;0,'OP Triangle'!C41/'OP Triangle'!B41,"")</f>
        <v/>
      </c>
      <c r="C41" s="11">
        <f>IF('OP Triangle'!C41&gt;0,'OP Triangle'!D41/'OP Triangle'!C41,"")</f>
        <v/>
      </c>
      <c r="D41" s="11">
        <f>IF('OP Triangle'!D41&gt;0,'OP Triangle'!E41/'OP Triangle'!D41,"")</f>
        <v/>
      </c>
      <c r="E41" s="10">
        <f>IF('OP Triangle'!E41&gt;0,'OP Triangle'!F41/'OP Triangle'!E41,"")</f>
        <v/>
      </c>
      <c r="F41" s="10">
        <f>IF('OP Triangle'!F41&gt;0,'OP Triangle'!G41/'OP Triangle'!F41,"")</f>
        <v/>
      </c>
    </row>
    <row r="42">
      <c r="A42" s="6" t="inlineStr">
        <is>
          <t>2026-05</t>
        </is>
      </c>
      <c r="B42" s="11">
        <f>IF('OP Triangle'!B42&gt;0,'OP Triangle'!C42/'OP Triangle'!B42,"")</f>
        <v/>
      </c>
      <c r="C42" s="11">
        <f>IF('OP Triangle'!C42&gt;0,'OP Triangle'!D42/'OP Triangle'!C42,"")</f>
        <v/>
      </c>
      <c r="D42" s="10">
        <f>IF('OP Triangle'!D42&gt;0,'OP Triangle'!E42/'OP Triangle'!D42,"")</f>
        <v/>
      </c>
      <c r="E42" s="10">
        <f>IF('OP Triangle'!E42&gt;0,'OP Triangle'!F42/'OP Triangle'!E42,"")</f>
        <v/>
      </c>
    </row>
    <row r="43">
      <c r="A43" s="6" t="inlineStr">
        <is>
          <t>2026-06</t>
        </is>
      </c>
      <c r="B43" s="11">
        <f>IF('OP Triangle'!B43&gt;0,'OP Triangle'!C43/'OP Triangle'!B43,"")</f>
        <v/>
      </c>
      <c r="C43" s="10">
        <f>IF('OP Triangle'!C43&gt;0,'OP Triangle'!D43/'OP Triangle'!C43,"")</f>
        <v/>
      </c>
      <c r="D43" s="10">
        <f>IF('OP Triangle'!D43&gt;0,'OP Triangle'!E43/'OP Triangle'!D43,"")</f>
        <v/>
      </c>
    </row>
    <row r="44">
      <c r="A44" s="6" t="inlineStr">
        <is>
          <t>2026-07</t>
        </is>
      </c>
      <c r="B44" s="10">
        <f>IF('OP Triangle'!B44&gt;0,'OP Triangle'!C44/'OP Triangle'!B44,"")</f>
        <v/>
      </c>
      <c r="C44" s="10">
        <f>IF('OP Triangle'!C44&gt;0,'OP Triangle'!D44/'OP Triangle'!C44,"")</f>
        <v/>
      </c>
    </row>
    <row r="45">
      <c r="A45" s="6" t="inlineStr">
        <is>
          <t>2026-08</t>
        </is>
      </c>
      <c r="B45" s="10">
        <f>IF('OP Triangle'!B45&gt;0,'OP Triangle'!C45/'OP Triangle'!B45,"")</f>
        <v/>
      </c>
    </row>
    <row r="46">
      <c r="A46" s="6" t="inlineStr">
        <is>
          <t>2026-09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4" customWidth="1" min="4" max="4"/>
    <col width="14" customWidth="1" min="5" max="5"/>
    <col width="60" customWidth="1" min="6" max="6"/>
  </cols>
  <sheetData>
    <row r="1">
      <c r="A1" s="3" t="inlineStr">
        <is>
          <t>Lag</t>
        </is>
      </c>
      <c r="B1" s="3" t="inlineStr">
        <is>
          <t>6-mo avg ex hi/lo</t>
        </is>
      </c>
      <c r="C1" s="3" t="inlineStr">
        <is>
          <t>Override</t>
        </is>
      </c>
      <c r="D1" s="3" t="inlineStr">
        <is>
          <t>Selected link ratio</t>
        </is>
      </c>
      <c r="E1" s="3" t="inlineStr">
        <is>
          <t>Completion factor</t>
        </is>
      </c>
      <c r="F1" s="3" t="inlineStr">
        <is>
          <t>Months used</t>
        </is>
      </c>
    </row>
    <row r="2">
      <c r="A2" t="n">
        <v>0</v>
      </c>
      <c r="B2" s="10">
        <f>(SUM('OP Ratios'!B38,'OP Ratios'!B39,'OP Ratios'!B40,'OP Ratios'!B41,'OP Ratios'!B44,'OP Ratios'!B45)-MAX('OP Ratios'!B38,'OP Ratios'!B39,'OP Ratios'!B40,'OP Ratios'!B41,'OP Ratios'!B44,'OP Ratios'!B45)-MIN('OP Ratios'!B38,'OP Ratios'!B39,'OP Ratios'!B40,'OP Ratios'!B41,'OP Ratios'!B44,'OP Ratios'!B45))/(COUNT('OP Ratios'!B38,'OP Ratios'!B39,'OP Ratios'!B40,'OP Ratios'!B41,'OP Ratios'!B44,'OP Ratios'!B45)-2)</f>
        <v/>
      </c>
      <c r="C2" s="12" t="n"/>
      <c r="D2" s="10">
        <f>IF(ISNUMBER(C2),C2,B2)</f>
        <v/>
      </c>
      <c r="E2" s="13">
        <f>1/PRODUCT(D2:D46)</f>
        <v/>
      </c>
      <c r="F2" t="inlineStr">
        <is>
          <t>2026-01, 2026-02, 2026-03, 2026-04, 2026-07, 2026-08</t>
        </is>
      </c>
    </row>
    <row r="3">
      <c r="A3" t="n">
        <v>1</v>
      </c>
      <c r="B3" s="10">
        <f>(SUM('OP Ratios'!C37,'OP Ratios'!C38,'OP Ratios'!C39,'OP Ratios'!C40,'OP Ratios'!C43,'OP Ratios'!C44)-MAX('OP Ratios'!C37,'OP Ratios'!C38,'OP Ratios'!C39,'OP Ratios'!C40,'OP Ratios'!C43,'OP Ratios'!C44)-MIN('OP Ratios'!C37,'OP Ratios'!C38,'OP Ratios'!C39,'OP Ratios'!C40,'OP Ratios'!C43,'OP Ratios'!C44))/(COUNT('OP Ratios'!C37,'OP Ratios'!C38,'OP Ratios'!C39,'OP Ratios'!C40,'OP Ratios'!C43,'OP Ratios'!C44)-2)</f>
        <v/>
      </c>
      <c r="C3" s="12" t="n"/>
      <c r="D3" s="10">
        <f>IF(ISNUMBER(C3),C3,B3)</f>
        <v/>
      </c>
      <c r="E3" s="13">
        <f>1/PRODUCT(D3:D46)</f>
        <v/>
      </c>
      <c r="F3" t="inlineStr">
        <is>
          <t>2025-12, 2026-01, 2026-02, 2026-03, 2026-06, 2026-07</t>
        </is>
      </c>
    </row>
    <row r="4">
      <c r="A4" t="n">
        <v>2</v>
      </c>
      <c r="B4" s="10">
        <f>(SUM('OP Ratios'!D36,'OP Ratios'!D37,'OP Ratios'!D38,'OP Ratios'!D39,'OP Ratios'!D42,'OP Ratios'!D43)-MAX('OP Ratios'!D36,'OP Ratios'!D37,'OP Ratios'!D38,'OP Ratios'!D39,'OP Ratios'!D42,'OP Ratios'!D43)-MIN('OP Ratios'!D36,'OP Ratios'!D37,'OP Ratios'!D38,'OP Ratios'!D39,'OP Ratios'!D42,'OP Ratios'!D43))/(COUNT('OP Ratios'!D36,'OP Ratios'!D37,'OP Ratios'!D38,'OP Ratios'!D39,'OP Ratios'!D42,'OP Ratios'!D43)-2)</f>
        <v/>
      </c>
      <c r="C4" s="12" t="n"/>
      <c r="D4" s="10">
        <f>IF(ISNUMBER(C4),C4,B4)</f>
        <v/>
      </c>
      <c r="E4" s="13">
        <f>1/PRODUCT(D4:D46)</f>
        <v/>
      </c>
      <c r="F4" t="inlineStr">
        <is>
          <t>2025-11, 2025-12, 2026-01, 2026-02, 2026-05, 2026-06</t>
        </is>
      </c>
    </row>
    <row r="5">
      <c r="A5" t="n">
        <v>3</v>
      </c>
      <c r="B5" s="10">
        <f>(SUM('OP Ratios'!E35,'OP Ratios'!E36,'OP Ratios'!E37,'OP Ratios'!E38,'OP Ratios'!E41,'OP Ratios'!E42)-MAX('OP Ratios'!E35,'OP Ratios'!E36,'OP Ratios'!E37,'OP Ratios'!E38,'OP Ratios'!E41,'OP Ratios'!E42)-MIN('OP Ratios'!E35,'OP Ratios'!E36,'OP Ratios'!E37,'OP Ratios'!E38,'OP Ratios'!E41,'OP Ratios'!E42))/(COUNT('OP Ratios'!E35,'OP Ratios'!E36,'OP Ratios'!E37,'OP Ratios'!E38,'OP Ratios'!E41,'OP Ratios'!E42)-2)</f>
        <v/>
      </c>
      <c r="C5" s="12" t="n"/>
      <c r="D5" s="10">
        <f>IF(ISNUMBER(C5),C5,B5)</f>
        <v/>
      </c>
      <c r="E5" s="13">
        <f>1/PRODUCT(D5:D46)</f>
        <v/>
      </c>
      <c r="F5" t="inlineStr">
        <is>
          <t>2025-10, 2025-11, 2025-12, 2026-01, 2026-04, 2026-05</t>
        </is>
      </c>
    </row>
    <row r="6">
      <c r="A6" t="n">
        <v>4</v>
      </c>
      <c r="B6" s="10">
        <f>(SUM('OP Ratios'!F34,'OP Ratios'!F35,'OP Ratios'!F36,'OP Ratios'!F37,'OP Ratios'!F40,'OP Ratios'!F41)-MAX('OP Ratios'!F34,'OP Ratios'!F35,'OP Ratios'!F36,'OP Ratios'!F37,'OP Ratios'!F40,'OP Ratios'!F41)-MIN('OP Ratios'!F34,'OP Ratios'!F35,'OP Ratios'!F36,'OP Ratios'!F37,'OP Ratios'!F40,'OP Ratios'!F41))/(COUNT('OP Ratios'!F34,'OP Ratios'!F35,'OP Ratios'!F36,'OP Ratios'!F37,'OP Ratios'!F40,'OP Ratios'!F41)-2)</f>
        <v/>
      </c>
      <c r="C6" s="12" t="n"/>
      <c r="D6" s="10">
        <f>IF(ISNUMBER(C6),C6,B6)</f>
        <v/>
      </c>
      <c r="E6" s="13">
        <f>1/PRODUCT(D6:D46)</f>
        <v/>
      </c>
      <c r="F6" t="inlineStr">
        <is>
          <t>2025-09, 2025-10, 2025-11, 2025-12, 2026-03, 2026-04</t>
        </is>
      </c>
    </row>
    <row r="7">
      <c r="A7" t="n">
        <v>5</v>
      </c>
      <c r="B7" s="10">
        <f>(SUM('OP Ratios'!G33,'OP Ratios'!G34,'OP Ratios'!G35,'OP Ratios'!G36,'OP Ratios'!G39,'OP Ratios'!G40)-MAX('OP Ratios'!G33,'OP Ratios'!G34,'OP Ratios'!G35,'OP Ratios'!G36,'OP Ratios'!G39,'OP Ratios'!G40)-MIN('OP Ratios'!G33,'OP Ratios'!G34,'OP Ratios'!G35,'OP Ratios'!G36,'OP Ratios'!G39,'OP Ratios'!G40))/(COUNT('OP Ratios'!G33,'OP Ratios'!G34,'OP Ratios'!G35,'OP Ratios'!G36,'OP Ratios'!G39,'OP Ratios'!G40)-2)</f>
        <v/>
      </c>
      <c r="C7" s="12" t="n"/>
      <c r="D7" s="10">
        <f>IF(ISNUMBER(C7),C7,B7)</f>
        <v/>
      </c>
      <c r="E7" s="13">
        <f>1/PRODUCT(D7:D46)</f>
        <v/>
      </c>
      <c r="F7" t="inlineStr">
        <is>
          <t>2025-08, 2025-09, 2025-10, 2025-11, 2026-02, 2026-03</t>
        </is>
      </c>
    </row>
    <row r="8">
      <c r="A8" t="n">
        <v>6</v>
      </c>
      <c r="B8" s="10">
        <f>(SUM('OP Ratios'!H32,'OP Ratios'!H33,'OP Ratios'!H34,'OP Ratios'!H35,'OP Ratios'!H38,'OP Ratios'!H39)-MAX('OP Ratios'!H32,'OP Ratios'!H33,'OP Ratios'!H34,'OP Ratios'!H35,'OP Ratios'!H38,'OP Ratios'!H39)-MIN('OP Ratios'!H32,'OP Ratios'!H33,'OP Ratios'!H34,'OP Ratios'!H35,'OP Ratios'!H38,'OP Ratios'!H39))/(COUNT('OP Ratios'!H32,'OP Ratios'!H33,'OP Ratios'!H34,'OP Ratios'!H35,'OP Ratios'!H38,'OP Ratios'!H39)-2)</f>
        <v/>
      </c>
      <c r="C8" s="12" t="n"/>
      <c r="D8" s="10">
        <f>IF(ISNUMBER(C8),C8,B8)</f>
        <v/>
      </c>
      <c r="E8" s="13">
        <f>1/PRODUCT(D8:D46)</f>
        <v/>
      </c>
      <c r="F8" t="inlineStr">
        <is>
          <t>2025-07, 2025-08, 2025-09, 2025-10, 2026-01, 2026-02</t>
        </is>
      </c>
    </row>
    <row r="9">
      <c r="A9" t="n">
        <v>7</v>
      </c>
      <c r="B9" s="10">
        <f>(SUM('OP Ratios'!I31,'OP Ratios'!I32,'OP Ratios'!I33,'OP Ratios'!I34,'OP Ratios'!I37,'OP Ratios'!I38)-MAX('OP Ratios'!I31,'OP Ratios'!I32,'OP Ratios'!I33,'OP Ratios'!I34,'OP Ratios'!I37,'OP Ratios'!I38)-MIN('OP Ratios'!I31,'OP Ratios'!I32,'OP Ratios'!I33,'OP Ratios'!I34,'OP Ratios'!I37,'OP Ratios'!I38))/(COUNT('OP Ratios'!I31,'OP Ratios'!I32,'OP Ratios'!I33,'OP Ratios'!I34,'OP Ratios'!I37,'OP Ratios'!I38)-2)</f>
        <v/>
      </c>
      <c r="C9" s="12" t="n"/>
      <c r="D9" s="10">
        <f>IF(ISNUMBER(C9),C9,B9)</f>
        <v/>
      </c>
      <c r="E9" s="13">
        <f>1/PRODUCT(D9:D46)</f>
        <v/>
      </c>
      <c r="F9" t="inlineStr">
        <is>
          <t>2025-06, 2025-07, 2025-08, 2025-09, 2025-12, 2026-01</t>
        </is>
      </c>
    </row>
    <row r="10">
      <c r="A10" t="n">
        <v>8</v>
      </c>
      <c r="B10" s="10">
        <f>(SUM('OP Ratios'!J30,'OP Ratios'!J31,'OP Ratios'!J32,'OP Ratios'!J33,'OP Ratios'!J36,'OP Ratios'!J37)-MAX('OP Ratios'!J30,'OP Ratios'!J31,'OP Ratios'!J32,'OP Ratios'!J33,'OP Ratios'!J36,'OP Ratios'!J37)-MIN('OP Ratios'!J30,'OP Ratios'!J31,'OP Ratios'!J32,'OP Ratios'!J33,'OP Ratios'!J36,'OP Ratios'!J37))/(COUNT('OP Ratios'!J30,'OP Ratios'!J31,'OP Ratios'!J32,'OP Ratios'!J33,'OP Ratios'!J36,'OP Ratios'!J37)-2)</f>
        <v/>
      </c>
      <c r="C10" s="12" t="n"/>
      <c r="D10" s="10">
        <f>IF(ISNUMBER(C10),C10,B10)</f>
        <v/>
      </c>
      <c r="E10" s="13">
        <f>1/PRODUCT(D10:D46)</f>
        <v/>
      </c>
      <c r="F10" t="inlineStr">
        <is>
          <t>2025-05, 2025-06, 2025-07, 2025-08, 2025-11, 2025-12</t>
        </is>
      </c>
    </row>
    <row r="11">
      <c r="A11" t="n">
        <v>9</v>
      </c>
      <c r="B11" s="10">
        <f>(SUM('OP Ratios'!K29,'OP Ratios'!K30,'OP Ratios'!K31,'OP Ratios'!K32,'OP Ratios'!K35,'OP Ratios'!K36)-MAX('OP Ratios'!K29,'OP Ratios'!K30,'OP Ratios'!K31,'OP Ratios'!K32,'OP Ratios'!K35,'OP Ratios'!K36)-MIN('OP Ratios'!K29,'OP Ratios'!K30,'OP Ratios'!K31,'OP Ratios'!K32,'OP Ratios'!K35,'OP Ratios'!K36))/(COUNT('OP Ratios'!K29,'OP Ratios'!K30,'OP Ratios'!K31,'OP Ratios'!K32,'OP Ratios'!K35,'OP Ratios'!K36)-2)</f>
        <v/>
      </c>
      <c r="C11" s="12" t="n"/>
      <c r="D11" s="10">
        <f>IF(ISNUMBER(C11),C11,B11)</f>
        <v/>
      </c>
      <c r="E11" s="13">
        <f>1/PRODUCT(D11:D46)</f>
        <v/>
      </c>
      <c r="F11" t="inlineStr">
        <is>
          <t>2025-04, 2025-05, 2025-06, 2025-07, 2025-10, 2025-11</t>
        </is>
      </c>
    </row>
    <row r="12">
      <c r="A12" t="n">
        <v>10</v>
      </c>
      <c r="B12" s="10">
        <f>(SUM('OP Ratios'!L28,'OP Ratios'!L29,'OP Ratios'!L30,'OP Ratios'!L31,'OP Ratios'!L34,'OP Ratios'!L35)-MAX('OP Ratios'!L28,'OP Ratios'!L29,'OP Ratios'!L30,'OP Ratios'!L31,'OP Ratios'!L34,'OP Ratios'!L35)-MIN('OP Ratios'!L28,'OP Ratios'!L29,'OP Ratios'!L30,'OP Ratios'!L31,'OP Ratios'!L34,'OP Ratios'!L35))/(COUNT('OP Ratios'!L28,'OP Ratios'!L29,'OP Ratios'!L30,'OP Ratios'!L31,'OP Ratios'!L34,'OP Ratios'!L35)-2)</f>
        <v/>
      </c>
      <c r="C12" s="12" t="n"/>
      <c r="D12" s="10">
        <f>IF(ISNUMBER(C12),C12,B12)</f>
        <v/>
      </c>
      <c r="E12" s="13">
        <f>1/PRODUCT(D12:D46)</f>
        <v/>
      </c>
      <c r="F12" t="inlineStr">
        <is>
          <t>2025-03, 2025-04, 2025-05, 2025-06, 2025-09, 2025-10</t>
        </is>
      </c>
    </row>
    <row r="13">
      <c r="A13" t="n">
        <v>11</v>
      </c>
      <c r="B13" s="10">
        <f>(SUM('OP Ratios'!M27,'OP Ratios'!M28,'OP Ratios'!M29,'OP Ratios'!M30,'OP Ratios'!M33,'OP Ratios'!M34)-MAX('OP Ratios'!M27,'OP Ratios'!M28,'OP Ratios'!M29,'OP Ratios'!M30,'OP Ratios'!M33,'OP Ratios'!M34)-MIN('OP Ratios'!M27,'OP Ratios'!M28,'OP Ratios'!M29,'OP Ratios'!M30,'OP Ratios'!M33,'OP Ratios'!M34))/(COUNT('OP Ratios'!M27,'OP Ratios'!M28,'OP Ratios'!M29,'OP Ratios'!M30,'OP Ratios'!M33,'OP Ratios'!M34)-2)</f>
        <v/>
      </c>
      <c r="C13" s="12" t="n"/>
      <c r="D13" s="10">
        <f>IF(ISNUMBER(C13),C13,B13)</f>
        <v/>
      </c>
      <c r="E13" s="13">
        <f>1/PRODUCT(D13:D46)</f>
        <v/>
      </c>
      <c r="F13" t="inlineStr">
        <is>
          <t>2025-02, 2025-03, 2025-04, 2025-05, 2025-08, 2025-09</t>
        </is>
      </c>
    </row>
    <row r="14">
      <c r="A14" t="n">
        <v>12</v>
      </c>
      <c r="B14" s="10">
        <f>(SUM('OP Ratios'!N26,'OP Ratios'!N27,'OP Ratios'!N28,'OP Ratios'!N29,'OP Ratios'!N32,'OP Ratios'!N33)-MAX('OP Ratios'!N26,'OP Ratios'!N27,'OP Ratios'!N28,'OP Ratios'!N29,'OP Ratios'!N32,'OP Ratios'!N33)-MIN('OP Ratios'!N26,'OP Ratios'!N27,'OP Ratios'!N28,'OP Ratios'!N29,'OP Ratios'!N32,'OP Ratios'!N33))/(COUNT('OP Ratios'!N26,'OP Ratios'!N27,'OP Ratios'!N28,'OP Ratios'!N29,'OP Ratios'!N32,'OP Ratios'!N33)-2)</f>
        <v/>
      </c>
      <c r="C14" s="12" t="n"/>
      <c r="D14" s="10">
        <f>IF(ISNUMBER(C14),C14,B14)</f>
        <v/>
      </c>
      <c r="E14" s="13">
        <f>1/PRODUCT(D14:D46)</f>
        <v/>
      </c>
      <c r="F14" t="inlineStr">
        <is>
          <t>2025-01, 2025-02, 2025-03, 2025-04, 2025-07, 2025-08</t>
        </is>
      </c>
    </row>
    <row r="15">
      <c r="A15" t="n">
        <v>13</v>
      </c>
      <c r="B15" s="10">
        <f>(SUM('OP Ratios'!O25,'OP Ratios'!O26,'OP Ratios'!O27,'OP Ratios'!O28,'OP Ratios'!O31,'OP Ratios'!O32)-MAX('OP Ratios'!O25,'OP Ratios'!O26,'OP Ratios'!O27,'OP Ratios'!O28,'OP Ratios'!O31,'OP Ratios'!O32)-MIN('OP Ratios'!O25,'OP Ratios'!O26,'OP Ratios'!O27,'OP Ratios'!O28,'OP Ratios'!O31,'OP Ratios'!O32))/(COUNT('OP Ratios'!O25,'OP Ratios'!O26,'OP Ratios'!O27,'OP Ratios'!O28,'OP Ratios'!O31,'OP Ratios'!O32)-2)</f>
        <v/>
      </c>
      <c r="C15" s="12" t="n"/>
      <c r="D15" s="10">
        <f>IF(ISNUMBER(C15),C15,B15)</f>
        <v/>
      </c>
      <c r="E15" s="13">
        <f>1/PRODUCT(D15:D46)</f>
        <v/>
      </c>
      <c r="F15" t="inlineStr">
        <is>
          <t>2024-12, 2025-01, 2025-02, 2025-03, 2025-06, 2025-07</t>
        </is>
      </c>
    </row>
    <row r="16">
      <c r="A16" t="n">
        <v>14</v>
      </c>
      <c r="B16" s="10">
        <f>(SUM('OP Ratios'!P24,'OP Ratios'!P25,'OP Ratios'!P26,'OP Ratios'!P27,'OP Ratios'!P30,'OP Ratios'!P31)-MAX('OP Ratios'!P24,'OP Ratios'!P25,'OP Ratios'!P26,'OP Ratios'!P27,'OP Ratios'!P30,'OP Ratios'!P31)-MIN('OP Ratios'!P24,'OP Ratios'!P25,'OP Ratios'!P26,'OP Ratios'!P27,'OP Ratios'!P30,'OP Ratios'!P31))/(COUNT('OP Ratios'!P24,'OP Ratios'!P25,'OP Ratios'!P26,'OP Ratios'!P27,'OP Ratios'!P30,'OP Ratios'!P31)-2)</f>
        <v/>
      </c>
      <c r="C16" s="12" t="n"/>
      <c r="D16" s="10">
        <f>IF(ISNUMBER(C16),C16,B16)</f>
        <v/>
      </c>
      <c r="E16" s="13">
        <f>1/PRODUCT(D16:D46)</f>
        <v/>
      </c>
      <c r="F16" t="inlineStr">
        <is>
          <t>2024-11, 2024-12, 2025-01, 2025-02, 2025-05, 2025-06</t>
        </is>
      </c>
    </row>
    <row r="17">
      <c r="A17" t="n">
        <v>15</v>
      </c>
      <c r="B17" s="10">
        <f>(SUM('OP Ratios'!Q23,'OP Ratios'!Q24,'OP Ratios'!Q25,'OP Ratios'!Q26,'OP Ratios'!Q29,'OP Ratios'!Q30)-MAX('OP Ratios'!Q23,'OP Ratios'!Q24,'OP Ratios'!Q25,'OP Ratios'!Q26,'OP Ratios'!Q29,'OP Ratios'!Q30)-MIN('OP Ratios'!Q23,'OP Ratios'!Q24,'OP Ratios'!Q25,'OP Ratios'!Q26,'OP Ratios'!Q29,'OP Ratios'!Q30))/(COUNT('OP Ratios'!Q23,'OP Ratios'!Q24,'OP Ratios'!Q25,'OP Ratios'!Q26,'OP Ratios'!Q29,'OP Ratios'!Q30)-2)</f>
        <v/>
      </c>
      <c r="C17" s="12" t="n"/>
      <c r="D17" s="10">
        <f>IF(ISNUMBER(C17),C17,B17)</f>
        <v/>
      </c>
      <c r="E17" s="13">
        <f>1/PRODUCT(D17:D46)</f>
        <v/>
      </c>
      <c r="F17" t="inlineStr">
        <is>
          <t>2024-10, 2024-11, 2024-12, 2025-01, 2025-04, 2025-05</t>
        </is>
      </c>
    </row>
    <row r="18">
      <c r="A18" t="n">
        <v>16</v>
      </c>
      <c r="B18" s="10">
        <f>(SUM('OP Ratios'!R22,'OP Ratios'!R23,'OP Ratios'!R24,'OP Ratios'!R25,'OP Ratios'!R28,'OP Ratios'!R29)-MAX('OP Ratios'!R22,'OP Ratios'!R23,'OP Ratios'!R24,'OP Ratios'!R25,'OP Ratios'!R28,'OP Ratios'!R29)-MIN('OP Ratios'!R22,'OP Ratios'!R23,'OP Ratios'!R24,'OP Ratios'!R25,'OP Ratios'!R28,'OP Ratios'!R29))/(COUNT('OP Ratios'!R22,'OP Ratios'!R23,'OP Ratios'!R24,'OP Ratios'!R25,'OP Ratios'!R28,'OP Ratios'!R29)-2)</f>
        <v/>
      </c>
      <c r="C18" s="12" t="n"/>
      <c r="D18" s="10">
        <f>IF(ISNUMBER(C18),C18,B18)</f>
        <v/>
      </c>
      <c r="E18" s="13">
        <f>1/PRODUCT(D18:D46)</f>
        <v/>
      </c>
      <c r="F18" t="inlineStr">
        <is>
          <t>2024-09, 2024-10, 2024-11, 2024-12, 2025-03, 2025-04</t>
        </is>
      </c>
    </row>
    <row r="19">
      <c r="A19" t="n">
        <v>17</v>
      </c>
      <c r="B19" s="10">
        <f>(SUM('OP Ratios'!S21,'OP Ratios'!S22,'OP Ratios'!S23,'OP Ratios'!S24,'OP Ratios'!S27,'OP Ratios'!S28)-MAX('OP Ratios'!S21,'OP Ratios'!S22,'OP Ratios'!S23,'OP Ratios'!S24,'OP Ratios'!S27,'OP Ratios'!S28)-MIN('OP Ratios'!S21,'OP Ratios'!S22,'OP Ratios'!S23,'OP Ratios'!S24,'OP Ratios'!S27,'OP Ratios'!S28))/(COUNT('OP Ratios'!S21,'OP Ratios'!S22,'OP Ratios'!S23,'OP Ratios'!S24,'OP Ratios'!S27,'OP Ratios'!S28)-2)</f>
        <v/>
      </c>
      <c r="C19" s="12" t="n"/>
      <c r="D19" s="10">
        <f>IF(ISNUMBER(C19),C19,B19)</f>
        <v/>
      </c>
      <c r="E19" s="13">
        <f>1/PRODUCT(D19:D46)</f>
        <v/>
      </c>
      <c r="F19" t="inlineStr">
        <is>
          <t>2024-08, 2024-09, 2024-10, 2024-11, 2025-02, 2025-03</t>
        </is>
      </c>
    </row>
    <row r="20">
      <c r="A20" t="n">
        <v>18</v>
      </c>
      <c r="B20" s="10">
        <f>(SUM('OP Ratios'!T20,'OP Ratios'!T21,'OP Ratios'!T22,'OP Ratios'!T23,'OP Ratios'!T26,'OP Ratios'!T27)-MAX('OP Ratios'!T20,'OP Ratios'!T21,'OP Ratios'!T22,'OP Ratios'!T23,'OP Ratios'!T26,'OP Ratios'!T27)-MIN('OP Ratios'!T20,'OP Ratios'!T21,'OP Ratios'!T22,'OP Ratios'!T23,'OP Ratios'!T26,'OP Ratios'!T27))/(COUNT('OP Ratios'!T20,'OP Ratios'!T21,'OP Ratios'!T22,'OP Ratios'!T23,'OP Ratios'!T26,'OP Ratios'!T27)-2)</f>
        <v/>
      </c>
      <c r="C20" s="12" t="n"/>
      <c r="D20" s="10">
        <f>IF(ISNUMBER(C20),C20,B20)</f>
        <v/>
      </c>
      <c r="E20" s="13">
        <f>1/PRODUCT(D20:D46)</f>
        <v/>
      </c>
      <c r="F20" t="inlineStr">
        <is>
          <t>2024-07, 2024-08, 2024-09, 2024-10, 2025-01, 2025-02</t>
        </is>
      </c>
    </row>
    <row r="21">
      <c r="A21" t="n">
        <v>19</v>
      </c>
      <c r="B21" s="10">
        <f>(SUM('OP Ratios'!U19,'OP Ratios'!U20,'OP Ratios'!U21,'OP Ratios'!U22,'OP Ratios'!U25,'OP Ratios'!U26)-MAX('OP Ratios'!U19,'OP Ratios'!U20,'OP Ratios'!U21,'OP Ratios'!U22,'OP Ratios'!U25,'OP Ratios'!U26)-MIN('OP Ratios'!U19,'OP Ratios'!U20,'OP Ratios'!U21,'OP Ratios'!U22,'OP Ratios'!U25,'OP Ratios'!U26))/(COUNT('OP Ratios'!U19,'OP Ratios'!U20,'OP Ratios'!U21,'OP Ratios'!U22,'OP Ratios'!U25,'OP Ratios'!U26)-2)</f>
        <v/>
      </c>
      <c r="C21" s="12" t="n"/>
      <c r="D21" s="10">
        <f>IF(ISNUMBER(C21),C21,B21)</f>
        <v/>
      </c>
      <c r="E21" s="13">
        <f>1/PRODUCT(D21:D46)</f>
        <v/>
      </c>
      <c r="F21" t="inlineStr">
        <is>
          <t>2024-06, 2024-07, 2024-08, 2024-09, 2024-12, 2025-01</t>
        </is>
      </c>
    </row>
    <row r="22">
      <c r="A22" t="n">
        <v>20</v>
      </c>
      <c r="B22" s="10">
        <f>(SUM('OP Ratios'!V18,'OP Ratios'!V19,'OP Ratios'!V20,'OP Ratios'!V21,'OP Ratios'!V24,'OP Ratios'!V25)-MAX('OP Ratios'!V18,'OP Ratios'!V19,'OP Ratios'!V20,'OP Ratios'!V21,'OP Ratios'!V24,'OP Ratios'!V25)-MIN('OP Ratios'!V18,'OP Ratios'!V19,'OP Ratios'!V20,'OP Ratios'!V21,'OP Ratios'!V24,'OP Ratios'!V25))/(COUNT('OP Ratios'!V18,'OP Ratios'!V19,'OP Ratios'!V20,'OP Ratios'!V21,'OP Ratios'!V24,'OP Ratios'!V25)-2)</f>
        <v/>
      </c>
      <c r="C22" s="12" t="n"/>
      <c r="D22" s="10">
        <f>IF(ISNUMBER(C22),C22,B22)</f>
        <v/>
      </c>
      <c r="E22" s="13">
        <f>1/PRODUCT(D22:D46)</f>
        <v/>
      </c>
      <c r="F22" t="inlineStr">
        <is>
          <t>2024-05, 2024-06, 2024-07, 2024-08, 2024-11, 2024-12</t>
        </is>
      </c>
    </row>
    <row r="23">
      <c r="A23" t="n">
        <v>21</v>
      </c>
      <c r="B23" s="10">
        <f>(SUM('OP Ratios'!W17,'OP Ratios'!W18,'OP Ratios'!W19,'OP Ratios'!W20,'OP Ratios'!W23,'OP Ratios'!W24)-MAX('OP Ratios'!W17,'OP Ratios'!W18,'OP Ratios'!W19,'OP Ratios'!W20,'OP Ratios'!W23,'OP Ratios'!W24)-MIN('OP Ratios'!W17,'OP Ratios'!W18,'OP Ratios'!W19,'OP Ratios'!W20,'OP Ratios'!W23,'OP Ratios'!W24))/(COUNT('OP Ratios'!W17,'OP Ratios'!W18,'OP Ratios'!W19,'OP Ratios'!W20,'OP Ratios'!W23,'OP Ratios'!W24)-2)</f>
        <v/>
      </c>
      <c r="C23" s="12" t="n"/>
      <c r="D23" s="10">
        <f>IF(ISNUMBER(C23),C23,B23)</f>
        <v/>
      </c>
      <c r="E23" s="13">
        <f>1/PRODUCT(D23:D46)</f>
        <v/>
      </c>
      <c r="F23" t="inlineStr">
        <is>
          <t>2024-04, 2024-05, 2024-06, 2024-07, 2024-10, 2024-11</t>
        </is>
      </c>
    </row>
    <row r="24">
      <c r="A24" t="n">
        <v>22</v>
      </c>
      <c r="B24" s="10">
        <f>(SUM('OP Ratios'!X16,'OP Ratios'!X17,'OP Ratios'!X18,'OP Ratios'!X19,'OP Ratios'!X22,'OP Ratios'!X23)-MAX('OP Ratios'!X16,'OP Ratios'!X17,'OP Ratios'!X18,'OP Ratios'!X19,'OP Ratios'!X22,'OP Ratios'!X23)-MIN('OP Ratios'!X16,'OP Ratios'!X17,'OP Ratios'!X18,'OP Ratios'!X19,'OP Ratios'!X22,'OP Ratios'!X23))/(COUNT('OP Ratios'!X16,'OP Ratios'!X17,'OP Ratios'!X18,'OP Ratios'!X19,'OP Ratios'!X22,'OP Ratios'!X23)-2)</f>
        <v/>
      </c>
      <c r="C24" s="12" t="n"/>
      <c r="D24" s="10">
        <f>IF(ISNUMBER(C24),C24,B24)</f>
        <v/>
      </c>
      <c r="E24" s="13">
        <f>1/PRODUCT(D24:D46)</f>
        <v/>
      </c>
      <c r="F24" t="inlineStr">
        <is>
          <t>2024-03, 2024-04, 2024-05, 2024-06, 2024-09, 2024-10</t>
        </is>
      </c>
    </row>
    <row r="25">
      <c r="A25" t="n">
        <v>23</v>
      </c>
      <c r="B25" s="10">
        <f>(SUM('OP Ratios'!Y15,'OP Ratios'!Y16,'OP Ratios'!Y17,'OP Ratios'!Y18,'OP Ratios'!Y21,'OP Ratios'!Y22)-MAX('OP Ratios'!Y15,'OP Ratios'!Y16,'OP Ratios'!Y17,'OP Ratios'!Y18,'OP Ratios'!Y21,'OP Ratios'!Y22)-MIN('OP Ratios'!Y15,'OP Ratios'!Y16,'OP Ratios'!Y17,'OP Ratios'!Y18,'OP Ratios'!Y21,'OP Ratios'!Y22))/(COUNT('OP Ratios'!Y15,'OP Ratios'!Y16,'OP Ratios'!Y17,'OP Ratios'!Y18,'OP Ratios'!Y21,'OP Ratios'!Y22)-2)</f>
        <v/>
      </c>
      <c r="C25" s="12" t="n"/>
      <c r="D25" s="10">
        <f>IF(ISNUMBER(C25),C25,B25)</f>
        <v/>
      </c>
      <c r="E25" s="13">
        <f>1/PRODUCT(D25:D46)</f>
        <v/>
      </c>
      <c r="F25" t="inlineStr">
        <is>
          <t>2024-02, 2024-03, 2024-04, 2024-05, 2024-08, 2024-09</t>
        </is>
      </c>
    </row>
    <row r="26">
      <c r="A26" t="n">
        <v>24</v>
      </c>
      <c r="B26" s="10">
        <f>(SUM('OP Ratios'!Z14,'OP Ratios'!Z15,'OP Ratios'!Z16,'OP Ratios'!Z17,'OP Ratios'!Z20,'OP Ratios'!Z21)-MAX('OP Ratios'!Z14,'OP Ratios'!Z15,'OP Ratios'!Z16,'OP Ratios'!Z17,'OP Ratios'!Z20,'OP Ratios'!Z21)-MIN('OP Ratios'!Z14,'OP Ratios'!Z15,'OP Ratios'!Z16,'OP Ratios'!Z17,'OP Ratios'!Z20,'OP Ratios'!Z21))/(COUNT('OP Ratios'!Z14,'OP Ratios'!Z15,'OP Ratios'!Z16,'OP Ratios'!Z17,'OP Ratios'!Z20,'OP Ratios'!Z21)-2)</f>
        <v/>
      </c>
      <c r="C26" s="12" t="n"/>
      <c r="D26" s="10">
        <f>IF(ISNUMBER(C26),C26,B26)</f>
        <v/>
      </c>
      <c r="E26" s="13">
        <f>1/PRODUCT(D26:D46)</f>
        <v/>
      </c>
      <c r="F26" t="inlineStr">
        <is>
          <t>2024-01, 2024-02, 2024-03, 2024-04, 2024-07, 2024-08</t>
        </is>
      </c>
    </row>
    <row r="27">
      <c r="A27" t="n">
        <v>25</v>
      </c>
      <c r="B27" s="10">
        <f>(SUM('OP Ratios'!AA13,'OP Ratios'!AA14,'OP Ratios'!AA15,'OP Ratios'!AA16,'OP Ratios'!AA19,'OP Ratios'!AA20)-MAX('OP Ratios'!AA13,'OP Ratios'!AA14,'OP Ratios'!AA15,'OP Ratios'!AA16,'OP Ratios'!AA19,'OP Ratios'!AA20)-MIN('OP Ratios'!AA13,'OP Ratios'!AA14,'OP Ratios'!AA15,'OP Ratios'!AA16,'OP Ratios'!AA19,'OP Ratios'!AA20))/(COUNT('OP Ratios'!AA13,'OP Ratios'!AA14,'OP Ratios'!AA15,'OP Ratios'!AA16,'OP Ratios'!AA19,'OP Ratios'!AA20)-2)</f>
        <v/>
      </c>
      <c r="C27" s="12" t="n"/>
      <c r="D27" s="10">
        <f>IF(ISNUMBER(C27),C27,B27)</f>
        <v/>
      </c>
      <c r="E27" s="13">
        <f>1/PRODUCT(D27:D46)</f>
        <v/>
      </c>
      <c r="F27" t="inlineStr">
        <is>
          <t>2023-12, 2024-01, 2024-02, 2024-03, 2024-06, 2024-07</t>
        </is>
      </c>
    </row>
    <row r="28">
      <c r="A28" t="n">
        <v>26</v>
      </c>
      <c r="B28" s="10">
        <f>(SUM('OP Ratios'!AB12,'OP Ratios'!AB13,'OP Ratios'!AB14,'OP Ratios'!AB15,'OP Ratios'!AB18,'OP Ratios'!AB19)-MAX('OP Ratios'!AB12,'OP Ratios'!AB13,'OP Ratios'!AB14,'OP Ratios'!AB15,'OP Ratios'!AB18,'OP Ratios'!AB19)-MIN('OP Ratios'!AB12,'OP Ratios'!AB13,'OP Ratios'!AB14,'OP Ratios'!AB15,'OP Ratios'!AB18,'OP Ratios'!AB19))/(COUNT('OP Ratios'!AB12,'OP Ratios'!AB13,'OP Ratios'!AB14,'OP Ratios'!AB15,'OP Ratios'!AB18,'OP Ratios'!AB19)-2)</f>
        <v/>
      </c>
      <c r="C28" s="12" t="n"/>
      <c r="D28" s="10">
        <f>IF(ISNUMBER(C28),C28,B28)</f>
        <v/>
      </c>
      <c r="E28" s="13">
        <f>1/PRODUCT(D28:D46)</f>
        <v/>
      </c>
      <c r="F28" t="inlineStr">
        <is>
          <t>2023-11, 2023-12, 2024-01, 2024-02, 2024-05, 2024-06</t>
        </is>
      </c>
    </row>
    <row r="29">
      <c r="A29" t="n">
        <v>27</v>
      </c>
      <c r="B29" s="10">
        <f>(SUM('OP Ratios'!AC11,'OP Ratios'!AC12,'OP Ratios'!AC13,'OP Ratios'!AC14,'OP Ratios'!AC17,'OP Ratios'!AC18)-MAX('OP Ratios'!AC11,'OP Ratios'!AC12,'OP Ratios'!AC13,'OP Ratios'!AC14,'OP Ratios'!AC17,'OP Ratios'!AC18)-MIN('OP Ratios'!AC11,'OP Ratios'!AC12,'OP Ratios'!AC13,'OP Ratios'!AC14,'OP Ratios'!AC17,'OP Ratios'!AC18))/(COUNT('OP Ratios'!AC11,'OP Ratios'!AC12,'OP Ratios'!AC13,'OP Ratios'!AC14,'OP Ratios'!AC17,'OP Ratios'!AC18)-2)</f>
        <v/>
      </c>
      <c r="C29" s="12" t="n"/>
      <c r="D29" s="10">
        <f>IF(ISNUMBER(C29),C29,B29)</f>
        <v/>
      </c>
      <c r="E29" s="13">
        <f>1/PRODUCT(D29:D46)</f>
        <v/>
      </c>
      <c r="F29" t="inlineStr">
        <is>
          <t>2023-10, 2023-11, 2023-12, 2024-01, 2024-04, 2024-05</t>
        </is>
      </c>
    </row>
    <row r="30">
      <c r="A30" t="n">
        <v>28</v>
      </c>
      <c r="B30" s="10">
        <f>(SUM('OP Ratios'!AD10,'OP Ratios'!AD11,'OP Ratios'!AD12,'OP Ratios'!AD13,'OP Ratios'!AD16,'OP Ratios'!AD17)-MAX('OP Ratios'!AD10,'OP Ratios'!AD11,'OP Ratios'!AD12,'OP Ratios'!AD13,'OP Ratios'!AD16,'OP Ratios'!AD17)-MIN('OP Ratios'!AD10,'OP Ratios'!AD11,'OP Ratios'!AD12,'OP Ratios'!AD13,'OP Ratios'!AD16,'OP Ratios'!AD17))/(COUNT('OP Ratios'!AD10,'OP Ratios'!AD11,'OP Ratios'!AD12,'OP Ratios'!AD13,'OP Ratios'!AD16,'OP Ratios'!AD17)-2)</f>
        <v/>
      </c>
      <c r="C30" s="12" t="n"/>
      <c r="D30" s="10">
        <f>IF(ISNUMBER(C30),C30,B30)</f>
        <v/>
      </c>
      <c r="E30" s="13">
        <f>1/PRODUCT(D30:D46)</f>
        <v/>
      </c>
      <c r="F30" t="inlineStr">
        <is>
          <t>2023-09, 2023-10, 2023-11, 2023-12, 2024-03, 2024-04</t>
        </is>
      </c>
    </row>
    <row r="31">
      <c r="A31" t="n">
        <v>29</v>
      </c>
      <c r="B31" s="10">
        <f>(SUM('OP Ratios'!AE9,'OP Ratios'!AE10,'OP Ratios'!AE11,'OP Ratios'!AE12,'OP Ratios'!AE15,'OP Ratios'!AE16)-MAX('OP Ratios'!AE9,'OP Ratios'!AE10,'OP Ratios'!AE11,'OP Ratios'!AE12,'OP Ratios'!AE15,'OP Ratios'!AE16)-MIN('OP Ratios'!AE9,'OP Ratios'!AE10,'OP Ratios'!AE11,'OP Ratios'!AE12,'OP Ratios'!AE15,'OP Ratios'!AE16))/(COUNT('OP Ratios'!AE9,'OP Ratios'!AE10,'OP Ratios'!AE11,'OP Ratios'!AE12,'OP Ratios'!AE15,'OP Ratios'!AE16)-2)</f>
        <v/>
      </c>
      <c r="C31" s="12" t="n"/>
      <c r="D31" s="10">
        <f>IF(ISNUMBER(C31),C31,B31)</f>
        <v/>
      </c>
      <c r="E31" s="13">
        <f>1/PRODUCT(D31:D46)</f>
        <v/>
      </c>
      <c r="F31" t="inlineStr">
        <is>
          <t>2023-08, 2023-09, 2023-10, 2023-11, 2024-02, 2024-03</t>
        </is>
      </c>
    </row>
    <row r="32">
      <c r="A32" t="n">
        <v>30</v>
      </c>
      <c r="B32" s="10">
        <f>(SUM('OP Ratios'!AF8,'OP Ratios'!AF9,'OP Ratios'!AF10,'OP Ratios'!AF11,'OP Ratios'!AF14,'OP Ratios'!AF15)-MAX('OP Ratios'!AF8,'OP Ratios'!AF9,'OP Ratios'!AF10,'OP Ratios'!AF11,'OP Ratios'!AF14,'OP Ratios'!AF15)-MIN('OP Ratios'!AF8,'OP Ratios'!AF9,'OP Ratios'!AF10,'OP Ratios'!AF11,'OP Ratios'!AF14,'OP Ratios'!AF15))/(COUNT('OP Ratios'!AF8,'OP Ratios'!AF9,'OP Ratios'!AF10,'OP Ratios'!AF11,'OP Ratios'!AF14,'OP Ratios'!AF15)-2)</f>
        <v/>
      </c>
      <c r="C32" s="12" t="n"/>
      <c r="D32" s="10">
        <f>IF(ISNUMBER(C32),C32,B32)</f>
        <v/>
      </c>
      <c r="E32" s="13">
        <f>1/PRODUCT(D32:D46)</f>
        <v/>
      </c>
      <c r="F32" t="inlineStr">
        <is>
          <t>2023-07, 2023-08, 2023-09, 2023-10, 2024-01, 2024-02</t>
        </is>
      </c>
    </row>
    <row r="33">
      <c r="A33" t="n">
        <v>31</v>
      </c>
      <c r="B33" s="10">
        <f>(SUM('OP Ratios'!AG7,'OP Ratios'!AG8,'OP Ratios'!AG9,'OP Ratios'!AG10,'OP Ratios'!AG13,'OP Ratios'!AG14)-MAX('OP Ratios'!AG7,'OP Ratios'!AG8,'OP Ratios'!AG9,'OP Ratios'!AG10,'OP Ratios'!AG13,'OP Ratios'!AG14)-MIN('OP Ratios'!AG7,'OP Ratios'!AG8,'OP Ratios'!AG9,'OP Ratios'!AG10,'OP Ratios'!AG13,'OP Ratios'!AG14))/(COUNT('OP Ratios'!AG7,'OP Ratios'!AG8,'OP Ratios'!AG9,'OP Ratios'!AG10,'OP Ratios'!AG13,'OP Ratios'!AG14)-2)</f>
        <v/>
      </c>
      <c r="C33" s="12" t="n"/>
      <c r="D33" s="10">
        <f>IF(ISNUMBER(C33),C33,B33)</f>
        <v/>
      </c>
      <c r="E33" s="13">
        <f>1/PRODUCT(D33:D46)</f>
        <v/>
      </c>
      <c r="F33" t="inlineStr">
        <is>
          <t>2023-06, 2023-07, 2023-08, 2023-09, 2023-12, 2024-01</t>
        </is>
      </c>
    </row>
    <row r="34">
      <c r="A34" t="n">
        <v>32</v>
      </c>
      <c r="B34" s="10">
        <f>(SUM('OP Ratios'!AH6,'OP Ratios'!AH7,'OP Ratios'!AH8,'OP Ratios'!AH9,'OP Ratios'!AH12,'OP Ratios'!AH13)-MAX('OP Ratios'!AH6,'OP Ratios'!AH7,'OP Ratios'!AH8,'OP Ratios'!AH9,'OP Ratios'!AH12,'OP Ratios'!AH13)-MIN('OP Ratios'!AH6,'OP Ratios'!AH7,'OP Ratios'!AH8,'OP Ratios'!AH9,'OP Ratios'!AH12,'OP Ratios'!AH13))/(COUNT('OP Ratios'!AH6,'OP Ratios'!AH7,'OP Ratios'!AH8,'OP Ratios'!AH9,'OP Ratios'!AH12,'OP Ratios'!AH13)-2)</f>
        <v/>
      </c>
      <c r="C34" s="12" t="n"/>
      <c r="D34" s="10">
        <f>IF(ISNUMBER(C34),C34,B34)</f>
        <v/>
      </c>
      <c r="E34" s="13">
        <f>1/PRODUCT(D34:D46)</f>
        <v/>
      </c>
      <c r="F34" t="inlineStr">
        <is>
          <t>2023-05, 2023-06, 2023-07, 2023-08, 2023-11, 2023-12</t>
        </is>
      </c>
    </row>
    <row r="35">
      <c r="A35" t="n">
        <v>33</v>
      </c>
      <c r="B35" s="10">
        <f>(SUM('OP Ratios'!AI5,'OP Ratios'!AI6,'OP Ratios'!AI7,'OP Ratios'!AI8,'OP Ratios'!AI11,'OP Ratios'!AI12)-MAX('OP Ratios'!AI5,'OP Ratios'!AI6,'OP Ratios'!AI7,'OP Ratios'!AI8,'OP Ratios'!AI11,'OP Ratios'!AI12)-MIN('OP Ratios'!AI5,'OP Ratios'!AI6,'OP Ratios'!AI7,'OP Ratios'!AI8,'OP Ratios'!AI11,'OP Ratios'!AI12))/(COUNT('OP Ratios'!AI5,'OP Ratios'!AI6,'OP Ratios'!AI7,'OP Ratios'!AI8,'OP Ratios'!AI11,'OP Ratios'!AI12)-2)</f>
        <v/>
      </c>
      <c r="C35" s="12" t="n"/>
      <c r="D35" s="10">
        <f>IF(ISNUMBER(C35),C35,B35)</f>
        <v/>
      </c>
      <c r="E35" s="13">
        <f>1/PRODUCT(D35:D46)</f>
        <v/>
      </c>
      <c r="F35" t="inlineStr">
        <is>
          <t>2023-04, 2023-05, 2023-06, 2023-07, 2023-10, 2023-11</t>
        </is>
      </c>
    </row>
    <row r="36">
      <c r="A36" t="n">
        <v>34</v>
      </c>
      <c r="B36" s="10">
        <f>(SUM('OP Ratios'!AJ4,'OP Ratios'!AJ5,'OP Ratios'!AJ6,'OP Ratios'!AJ7,'OP Ratios'!AJ10,'OP Ratios'!AJ11)-MAX('OP Ratios'!AJ4,'OP Ratios'!AJ5,'OP Ratios'!AJ6,'OP Ratios'!AJ7,'OP Ratios'!AJ10,'OP Ratios'!AJ11)-MIN('OP Ratios'!AJ4,'OP Ratios'!AJ5,'OP Ratios'!AJ6,'OP Ratios'!AJ7,'OP Ratios'!AJ10,'OP Ratios'!AJ11))/(COUNT('OP Ratios'!AJ4,'OP Ratios'!AJ5,'OP Ratios'!AJ6,'OP Ratios'!AJ7,'OP Ratios'!AJ10,'OP Ratios'!AJ11)-2)</f>
        <v/>
      </c>
      <c r="C36" s="12" t="n"/>
      <c r="D36" s="10">
        <f>IF(ISNUMBER(C36),C36,B36)</f>
        <v/>
      </c>
      <c r="E36" s="13">
        <f>1/PRODUCT(D36:D46)</f>
        <v/>
      </c>
      <c r="F36" t="inlineStr">
        <is>
          <t>2023-03, 2023-04, 2023-05, 2023-06, 2023-09, 2023-10</t>
        </is>
      </c>
    </row>
    <row r="37">
      <c r="A37" t="n">
        <v>35</v>
      </c>
      <c r="B37" s="10">
        <f>(SUM('OP Ratios'!AK3,'OP Ratios'!AK4,'OP Ratios'!AK5,'OP Ratios'!AK6,'OP Ratios'!AK9,'OP Ratios'!AK10)-MAX('OP Ratios'!AK3,'OP Ratios'!AK4,'OP Ratios'!AK5,'OP Ratios'!AK6,'OP Ratios'!AK9,'OP Ratios'!AK10)-MIN('OP Ratios'!AK3,'OP Ratios'!AK4,'OP Ratios'!AK5,'OP Ratios'!AK6,'OP Ratios'!AK9,'OP Ratios'!AK10))/(COUNT('OP Ratios'!AK3,'OP Ratios'!AK4,'OP Ratios'!AK5,'OP Ratios'!AK6,'OP Ratios'!AK9,'OP Ratios'!AK10)-2)</f>
        <v/>
      </c>
      <c r="C37" s="12" t="n"/>
      <c r="D37" s="10">
        <f>IF(ISNUMBER(C37),C37,B37)</f>
        <v/>
      </c>
      <c r="E37" s="13">
        <f>1/PRODUCT(D37:D46)</f>
        <v/>
      </c>
      <c r="F37" t="inlineStr">
        <is>
          <t>2023-02, 2023-03, 2023-04, 2023-05, 2023-08, 2023-09</t>
        </is>
      </c>
    </row>
    <row r="38">
      <c r="A38" t="n">
        <v>36</v>
      </c>
      <c r="B38" s="10" t="n">
        <v>1</v>
      </c>
      <c r="C38" s="12" t="n"/>
      <c r="D38" s="10">
        <f>IF(ISNUMBER(C38),C38,B38)</f>
        <v/>
      </c>
      <c r="E38" s="13">
        <f>1/PRODUCT(D38:D46)</f>
        <v/>
      </c>
      <c r="F38" t="inlineStr">
        <is>
          <t>2023-01, 2023-02, 2023-03, 2023-04, 2023-07, 2023-08</t>
        </is>
      </c>
    </row>
    <row r="39">
      <c r="A39" t="n">
        <v>37</v>
      </c>
      <c r="B39" s="10" t="n">
        <v>1</v>
      </c>
      <c r="C39" s="12" t="n"/>
      <c r="D39" s="10">
        <f>IF(ISNUMBER(C39),C39,B39)</f>
        <v/>
      </c>
      <c r="E39" s="13">
        <f>1/PRODUCT(D39:D46)</f>
        <v/>
      </c>
      <c r="F39" t="inlineStr">
        <is>
          <t>2023-01, 2023-02, 2023-03, 2023-06, 2023-07</t>
        </is>
      </c>
    </row>
    <row r="40">
      <c r="A40" t="n">
        <v>38</v>
      </c>
      <c r="B40" s="10" t="n">
        <v>1</v>
      </c>
      <c r="C40" s="12" t="n"/>
      <c r="D40" s="10">
        <f>IF(ISNUMBER(C40),C40,B40)</f>
        <v/>
      </c>
      <c r="E40" s="13">
        <f>1/PRODUCT(D40:D46)</f>
        <v/>
      </c>
      <c r="F40" t="inlineStr">
        <is>
          <t>2023-01, 2023-02, 2023-05, 2023-06</t>
        </is>
      </c>
    </row>
    <row r="41">
      <c r="A41" t="n">
        <v>39</v>
      </c>
      <c r="B41" s="10" t="n">
        <v>1</v>
      </c>
      <c r="C41" s="12" t="n"/>
      <c r="D41" s="10">
        <f>IF(ISNUMBER(C41),C41,B41)</f>
        <v/>
      </c>
      <c r="E41" s="13">
        <f>1/PRODUCT(D41:D46)</f>
        <v/>
      </c>
      <c r="F41" t="inlineStr">
        <is>
          <t>2023-01, 2023-04, 2023-05</t>
        </is>
      </c>
    </row>
    <row r="42">
      <c r="A42" t="n">
        <v>40</v>
      </c>
      <c r="B42" s="10" t="n">
        <v>1</v>
      </c>
      <c r="C42" s="12" t="n"/>
      <c r="D42" s="10">
        <f>IF(ISNUMBER(C42),C42,B42)</f>
        <v/>
      </c>
      <c r="E42" s="13">
        <f>1/PRODUCT(D42:D46)</f>
        <v/>
      </c>
      <c r="F42" t="inlineStr">
        <is>
          <t>2023-03, 2023-04</t>
        </is>
      </c>
    </row>
    <row r="43">
      <c r="A43" t="n">
        <v>41</v>
      </c>
      <c r="B43" s="10" t="n">
        <v>1</v>
      </c>
      <c r="C43" s="12" t="n"/>
      <c r="D43" s="10">
        <f>IF(ISNUMBER(C43),C43,B43)</f>
        <v/>
      </c>
      <c r="E43" s="13">
        <f>1/PRODUCT(D43:D46)</f>
        <v/>
      </c>
      <c r="F43" t="inlineStr">
        <is>
          <t>2023-02, 2023-03</t>
        </is>
      </c>
    </row>
    <row r="44">
      <c r="A44" t="n">
        <v>42</v>
      </c>
      <c r="B44" s="10" t="n">
        <v>1</v>
      </c>
      <c r="C44" s="12" t="n"/>
      <c r="D44" s="10">
        <f>IF(ISNUMBER(C44),C44,B44)</f>
        <v/>
      </c>
      <c r="E44" s="13">
        <f>1/PRODUCT(D44:D46)</f>
        <v/>
      </c>
      <c r="F44" t="inlineStr">
        <is>
          <t>2023-01, 2023-02</t>
        </is>
      </c>
    </row>
    <row r="45">
      <c r="A45" t="n">
        <v>43</v>
      </c>
      <c r="B45" s="10" t="n">
        <v>1</v>
      </c>
      <c r="C45" s="12" t="n"/>
      <c r="D45" s="10">
        <f>IF(ISNUMBER(C45),C45,B45)</f>
        <v/>
      </c>
      <c r="E45" s="13">
        <f>1/PRODUCT(D45:D46)</f>
        <v/>
      </c>
      <c r="F45" t="inlineStr">
        <is>
          <t>2023-01</t>
        </is>
      </c>
    </row>
    <row r="46">
      <c r="A46" t="n">
        <v>44</v>
      </c>
      <c r="B46" s="10" t="n">
        <v>1</v>
      </c>
      <c r="C46" s="12" t="n"/>
      <c r="D46" s="10">
        <f>IF(ISNUMBER(C46),C46,B46)</f>
        <v/>
      </c>
      <c r="E46" s="13">
        <f>1/PRODUCT(D46:D46)</f>
        <v/>
      </c>
      <c r="F46" t="inlineStr">
        <is>
          <t>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  <col width="14" customWidth="1" min="12" max="12"/>
    <col width="18" customWidth="1" min="13" max="13"/>
  </cols>
  <sheetData>
    <row r="1">
      <c r="A1" s="3" t="inlineStr">
        <is>
          <t>Incurred</t>
        </is>
      </c>
      <c r="B1" s="3" t="inlineStr">
        <is>
          <t>Member months</t>
        </is>
      </c>
      <c r="C1" s="3" t="inlineStr">
        <is>
          <t>Age</t>
        </is>
      </c>
      <c r="D1" s="3" t="inlineStr">
        <is>
          <t>Paid to date</t>
        </is>
      </c>
      <c r="E1" s="3" t="inlineStr">
        <is>
          <t>Paid for estimation</t>
        </is>
      </c>
      <c r="F1" s="3" t="inlineStr">
        <is>
          <t>Completion factor</t>
        </is>
      </c>
      <c r="G1" s="3" t="inlineStr">
        <is>
          <t>CF ultimate</t>
        </is>
      </c>
      <c r="H1" s="3" t="inlineStr">
        <is>
          <t>Expected PMPM</t>
        </is>
      </c>
      <c r="I1" s="3" t="inlineStr">
        <is>
          <t>Expected claims</t>
        </is>
      </c>
      <c r="J1" s="3" t="inlineStr">
        <is>
          <t>B-F ultimate</t>
        </is>
      </c>
      <c r="K1" s="3" t="inlineStr">
        <is>
          <t>Selected ultimate</t>
        </is>
      </c>
      <c r="L1" s="3" t="inlineStr">
        <is>
          <t>IBNR</t>
        </is>
      </c>
      <c r="M1" s="3" t="inlineStr">
        <is>
          <t>Method</t>
        </is>
      </c>
    </row>
    <row r="2">
      <c r="A2" s="6" t="inlineStr">
        <is>
          <t>2023-01</t>
        </is>
      </c>
      <c r="B2" s="14" t="n">
        <v>185202</v>
      </c>
      <c r="C2" t="n">
        <v>44</v>
      </c>
      <c r="D2" s="4">
        <f>'OP Triangle'!AT2</f>
        <v/>
      </c>
      <c r="E2" s="4">
        <f>'OP Triangle'!AS2+(D2-'OP Triangle'!AS2)/Assumptions!$B$7</f>
        <v/>
      </c>
      <c r="F2" s="13">
        <f>INDEX('OP Factors'!$E:$E,C2+2)</f>
        <v/>
      </c>
      <c r="G2" s="4">
        <f>E2/F2</f>
        <v/>
      </c>
      <c r="H2" s="15" t="n">
        <v>135.500409</v>
      </c>
      <c r="I2" s="4">
        <f>H2*B2</f>
        <v/>
      </c>
      <c r="J2" s="4">
        <f>E2+(1-F2)*I2</f>
        <v/>
      </c>
      <c r="K2" s="4">
        <f>IF(C2&gt;=Assumptions!$B$3,G2,J2)</f>
        <v/>
      </c>
      <c r="L2" s="4">
        <f>K2-D2</f>
        <v/>
      </c>
      <c r="M2">
        <f>IF(C2&gt;=Assumptions!$B$3,"Completion factor","PMPM / B-F")</f>
        <v/>
      </c>
    </row>
    <row r="3">
      <c r="A3" s="6" t="inlineStr">
        <is>
          <t>2023-02</t>
        </is>
      </c>
      <c r="B3" s="14" t="n">
        <v>185248</v>
      </c>
      <c r="C3" t="n">
        <v>43</v>
      </c>
      <c r="D3" s="4">
        <f>'OP Triangle'!AS3</f>
        <v/>
      </c>
      <c r="E3" s="4">
        <f>'OP Triangle'!AR3+(D3-'OP Triangle'!AR3)/Assumptions!$B$7</f>
        <v/>
      </c>
      <c r="F3" s="13">
        <f>INDEX('OP Factors'!$E:$E,C3+2)</f>
        <v/>
      </c>
      <c r="G3" s="4">
        <f>E3/F3</f>
        <v/>
      </c>
      <c r="H3" s="15" t="n">
        <v>142.408579</v>
      </c>
      <c r="I3" s="4">
        <f>H3*B3</f>
        <v/>
      </c>
      <c r="J3" s="4">
        <f>E3+(1-F3)*I3</f>
        <v/>
      </c>
      <c r="K3" s="4">
        <f>IF(C3&gt;=Assumptions!$B$3,G3,J3)</f>
        <v/>
      </c>
      <c r="L3" s="4">
        <f>K3-D3</f>
        <v/>
      </c>
      <c r="M3">
        <f>IF(C3&gt;=Assumptions!$B$3,"Completion factor","PMPM / B-F")</f>
        <v/>
      </c>
    </row>
    <row r="4">
      <c r="A4" s="6" t="inlineStr">
        <is>
          <t>2023-03</t>
        </is>
      </c>
      <c r="B4" s="14" t="n">
        <v>185435</v>
      </c>
      <c r="C4" t="n">
        <v>42</v>
      </c>
      <c r="D4" s="4">
        <f>'OP Triangle'!AR4</f>
        <v/>
      </c>
      <c r="E4" s="4">
        <f>'OP Triangle'!AQ4+(D4-'OP Triangle'!AQ4)/Assumptions!$B$7</f>
        <v/>
      </c>
      <c r="F4" s="13">
        <f>INDEX('OP Factors'!$E:$E,C4+2)</f>
        <v/>
      </c>
      <c r="G4" s="4">
        <f>E4/F4</f>
        <v/>
      </c>
      <c r="H4" s="15" t="n">
        <v>147.710478</v>
      </c>
      <c r="I4" s="4">
        <f>H4*B4</f>
        <v/>
      </c>
      <c r="J4" s="4">
        <f>E4+(1-F4)*I4</f>
        <v/>
      </c>
      <c r="K4" s="4">
        <f>IF(C4&gt;=Assumptions!$B$3,G4,J4)</f>
        <v/>
      </c>
      <c r="L4" s="4">
        <f>K4-D4</f>
        <v/>
      </c>
      <c r="M4">
        <f>IF(C4&gt;=Assumptions!$B$3,"Completion factor","PMPM / B-F")</f>
        <v/>
      </c>
    </row>
    <row r="5">
      <c r="A5" s="6" t="inlineStr">
        <is>
          <t>2023-04</t>
        </is>
      </c>
      <c r="B5" s="14" t="n">
        <v>185785</v>
      </c>
      <c r="C5" t="n">
        <v>41</v>
      </c>
      <c r="D5" s="4">
        <f>'OP Triangle'!AQ5</f>
        <v/>
      </c>
      <c r="E5" s="4">
        <f>'OP Triangle'!AP5+(D5-'OP Triangle'!AP5)/Assumptions!$B$7</f>
        <v/>
      </c>
      <c r="F5" s="13">
        <f>INDEX('OP Factors'!$E:$E,C5+2)</f>
        <v/>
      </c>
      <c r="G5" s="4">
        <f>E5/F5</f>
        <v/>
      </c>
      <c r="H5" s="15" t="n">
        <v>144.376332</v>
      </c>
      <c r="I5" s="4">
        <f>H5*B5</f>
        <v/>
      </c>
      <c r="J5" s="4">
        <f>E5+(1-F5)*I5</f>
        <v/>
      </c>
      <c r="K5" s="4">
        <f>IF(C5&gt;=Assumptions!$B$3,G5,J5)</f>
        <v/>
      </c>
      <c r="L5" s="4">
        <f>K5-D5</f>
        <v/>
      </c>
      <c r="M5">
        <f>IF(C5&gt;=Assumptions!$B$3,"Completion factor","PMPM / B-F")</f>
        <v/>
      </c>
    </row>
    <row r="6">
      <c r="A6" s="6" t="inlineStr">
        <is>
          <t>2023-05</t>
        </is>
      </c>
      <c r="B6" s="14" t="n">
        <v>185684</v>
      </c>
      <c r="C6" t="n">
        <v>40</v>
      </c>
      <c r="D6" s="4">
        <f>'OP Triangle'!AP6</f>
        <v/>
      </c>
      <c r="E6" s="4">
        <f>'OP Triangle'!AO6+(D6-'OP Triangle'!AO6)/Assumptions!$B$7</f>
        <v/>
      </c>
      <c r="F6" s="13">
        <f>INDEX('OP Factors'!$E:$E,C6+2)</f>
        <v/>
      </c>
      <c r="G6" s="4">
        <f>E6/F6</f>
        <v/>
      </c>
      <c r="H6" s="15" t="n">
        <v>144.228477</v>
      </c>
      <c r="I6" s="4">
        <f>H6*B6</f>
        <v/>
      </c>
      <c r="J6" s="4">
        <f>E6+(1-F6)*I6</f>
        <v/>
      </c>
      <c r="K6" s="4">
        <f>IF(C6&gt;=Assumptions!$B$3,G6,J6)</f>
        <v/>
      </c>
      <c r="L6" s="4">
        <f>K6-D6</f>
        <v/>
      </c>
      <c r="M6">
        <f>IF(C6&gt;=Assumptions!$B$3,"Completion factor","PMPM / B-F")</f>
        <v/>
      </c>
    </row>
    <row r="7">
      <c r="A7" s="6" t="inlineStr">
        <is>
          <t>2023-06</t>
        </is>
      </c>
      <c r="B7" s="14" t="n">
        <v>186376</v>
      </c>
      <c r="C7" t="n">
        <v>39</v>
      </c>
      <c r="D7" s="4">
        <f>'OP Triangle'!AO7</f>
        <v/>
      </c>
      <c r="E7" s="4">
        <f>'OP Triangle'!AN7+(D7-'OP Triangle'!AN7)/Assumptions!$B$7</f>
        <v/>
      </c>
      <c r="F7" s="13">
        <f>INDEX('OP Factors'!$E:$E,C7+2)</f>
        <v/>
      </c>
      <c r="G7" s="4">
        <f>E7/F7</f>
        <v/>
      </c>
      <c r="H7" s="15" t="n">
        <v>147.095591</v>
      </c>
      <c r="I7" s="4">
        <f>H7*B7</f>
        <v/>
      </c>
      <c r="J7" s="4">
        <f>E7+(1-F7)*I7</f>
        <v/>
      </c>
      <c r="K7" s="4">
        <f>IF(C7&gt;=Assumptions!$B$3,G7,J7)</f>
        <v/>
      </c>
      <c r="L7" s="4">
        <f>K7-D7</f>
        <v/>
      </c>
      <c r="M7">
        <f>IF(C7&gt;=Assumptions!$B$3,"Completion factor","PMPM / B-F")</f>
        <v/>
      </c>
    </row>
    <row r="8">
      <c r="A8" s="6" t="inlineStr">
        <is>
          <t>2023-07</t>
        </is>
      </c>
      <c r="B8" s="14" t="n">
        <v>186902</v>
      </c>
      <c r="C8" t="n">
        <v>38</v>
      </c>
      <c r="D8" s="4">
        <f>'OP Triangle'!AN8</f>
        <v/>
      </c>
      <c r="E8" s="4">
        <f>'OP Triangle'!AM8+(D8-'OP Triangle'!AM8)/Assumptions!$B$7</f>
        <v/>
      </c>
      <c r="F8" s="13">
        <f>INDEX('OP Factors'!$E:$E,C8+2)</f>
        <v/>
      </c>
      <c r="G8" s="4">
        <f>E8/F8</f>
        <v/>
      </c>
      <c r="H8" s="15" t="n">
        <v>145.200807</v>
      </c>
      <c r="I8" s="4">
        <f>H8*B8</f>
        <v/>
      </c>
      <c r="J8" s="4">
        <f>E8+(1-F8)*I8</f>
        <v/>
      </c>
      <c r="K8" s="4">
        <f>IF(C8&gt;=Assumptions!$B$3,G8,J8)</f>
        <v/>
      </c>
      <c r="L8" s="4">
        <f>K8-D8</f>
        <v/>
      </c>
      <c r="M8">
        <f>IF(C8&gt;=Assumptions!$B$3,"Completion factor","PMPM / B-F")</f>
        <v/>
      </c>
    </row>
    <row r="9">
      <c r="A9" s="6" t="inlineStr">
        <is>
          <t>2023-08</t>
        </is>
      </c>
      <c r="B9" s="14" t="n">
        <v>187226</v>
      </c>
      <c r="C9" t="n">
        <v>37</v>
      </c>
      <c r="D9" s="4">
        <f>'OP Triangle'!AM9</f>
        <v/>
      </c>
      <c r="E9" s="4">
        <f>'OP Triangle'!AL9+(D9-'OP Triangle'!AL9)/Assumptions!$B$7</f>
        <v/>
      </c>
      <c r="F9" s="13">
        <f>INDEX('OP Factors'!$E:$E,C9+2)</f>
        <v/>
      </c>
      <c r="G9" s="4">
        <f>E9/F9</f>
        <v/>
      </c>
      <c r="H9" s="15" t="n">
        <v>158.16074</v>
      </c>
      <c r="I9" s="4">
        <f>H9*B9</f>
        <v/>
      </c>
      <c r="J9" s="4">
        <f>E9+(1-F9)*I9</f>
        <v/>
      </c>
      <c r="K9" s="4">
        <f>IF(C9&gt;=Assumptions!$B$3,G9,J9)</f>
        <v/>
      </c>
      <c r="L9" s="4">
        <f>K9-D9</f>
        <v/>
      </c>
      <c r="M9">
        <f>IF(C9&gt;=Assumptions!$B$3,"Completion factor","PMPM / B-F")</f>
        <v/>
      </c>
    </row>
    <row r="10">
      <c r="A10" s="6" t="inlineStr">
        <is>
          <t>2023-09</t>
        </is>
      </c>
      <c r="B10" s="14" t="n">
        <v>187750</v>
      </c>
      <c r="C10" t="n">
        <v>36</v>
      </c>
      <c r="D10" s="4">
        <f>'OP Triangle'!AL10</f>
        <v/>
      </c>
      <c r="E10" s="4">
        <f>'OP Triangle'!AK10+(D10-'OP Triangle'!AK10)/Assumptions!$B$7</f>
        <v/>
      </c>
      <c r="F10" s="13">
        <f>INDEX('OP Factors'!$E:$E,C10+2)</f>
        <v/>
      </c>
      <c r="G10" s="4">
        <f>E10/F10</f>
        <v/>
      </c>
      <c r="H10" s="15" t="n">
        <v>152.587832</v>
      </c>
      <c r="I10" s="4">
        <f>H10*B10</f>
        <v/>
      </c>
      <c r="J10" s="4">
        <f>E10+(1-F10)*I10</f>
        <v/>
      </c>
      <c r="K10" s="4">
        <f>IF(C10&gt;=Assumptions!$B$3,G10,J10)</f>
        <v/>
      </c>
      <c r="L10" s="4">
        <f>K10-D10</f>
        <v/>
      </c>
      <c r="M10">
        <f>IF(C10&gt;=Assumptions!$B$3,"Completion factor","PMPM / B-F")</f>
        <v/>
      </c>
    </row>
    <row r="11">
      <c r="A11" s="6" t="inlineStr">
        <is>
          <t>2023-10</t>
        </is>
      </c>
      <c r="B11" s="14" t="n">
        <v>187725</v>
      </c>
      <c r="C11" t="n">
        <v>35</v>
      </c>
      <c r="D11" s="4">
        <f>'OP Triangle'!AK11</f>
        <v/>
      </c>
      <c r="E11" s="4">
        <f>'OP Triangle'!AJ11+(D11-'OP Triangle'!AJ11)/Assumptions!$B$7</f>
        <v/>
      </c>
      <c r="F11" s="13">
        <f>INDEX('OP Factors'!$E:$E,C11+2)</f>
        <v/>
      </c>
      <c r="G11" s="4">
        <f>E11/F11</f>
        <v/>
      </c>
      <c r="H11" s="15" t="n">
        <v>163.446235</v>
      </c>
      <c r="I11" s="4">
        <f>H11*B11</f>
        <v/>
      </c>
      <c r="J11" s="4">
        <f>E11+(1-F11)*I11</f>
        <v/>
      </c>
      <c r="K11" s="4">
        <f>IF(C11&gt;=Assumptions!$B$3,G11,J11)</f>
        <v/>
      </c>
      <c r="L11" s="4">
        <f>K11-D11</f>
        <v/>
      </c>
      <c r="M11">
        <f>IF(C11&gt;=Assumptions!$B$3,"Completion factor","PMPM / B-F")</f>
        <v/>
      </c>
    </row>
    <row r="12">
      <c r="A12" s="6" t="inlineStr">
        <is>
          <t>2023-11</t>
        </is>
      </c>
      <c r="B12" s="14" t="n">
        <v>187816</v>
      </c>
      <c r="C12" t="n">
        <v>34</v>
      </c>
      <c r="D12" s="4">
        <f>'OP Triangle'!AJ12</f>
        <v/>
      </c>
      <c r="E12" s="4">
        <f>'OP Triangle'!AI12+(D12-'OP Triangle'!AI12)/Assumptions!$B$7</f>
        <v/>
      </c>
      <c r="F12" s="13">
        <f>INDEX('OP Factors'!$E:$E,C12+2)</f>
        <v/>
      </c>
      <c r="G12" s="4">
        <f>E12/F12</f>
        <v/>
      </c>
      <c r="H12" s="15" t="n">
        <v>160.48413</v>
      </c>
      <c r="I12" s="4">
        <f>H12*B12</f>
        <v/>
      </c>
      <c r="J12" s="4">
        <f>E12+(1-F12)*I12</f>
        <v/>
      </c>
      <c r="K12" s="4">
        <f>IF(C12&gt;=Assumptions!$B$3,G12,J12)</f>
        <v/>
      </c>
      <c r="L12" s="4">
        <f>K12-D12</f>
        <v/>
      </c>
      <c r="M12">
        <f>IF(C12&gt;=Assumptions!$B$3,"Completion factor","PMPM / B-F")</f>
        <v/>
      </c>
    </row>
    <row r="13">
      <c r="A13" s="6" t="inlineStr">
        <is>
          <t>2023-12</t>
        </is>
      </c>
      <c r="B13" s="14" t="n">
        <v>188296</v>
      </c>
      <c r="C13" t="n">
        <v>33</v>
      </c>
      <c r="D13" s="4">
        <f>'OP Triangle'!AI13</f>
        <v/>
      </c>
      <c r="E13" s="4">
        <f>'OP Triangle'!AH13+(D13-'OP Triangle'!AH13)/Assumptions!$B$7</f>
        <v/>
      </c>
      <c r="F13" s="13">
        <f>INDEX('OP Factors'!$E:$E,C13+2)</f>
        <v/>
      </c>
      <c r="G13" s="4">
        <f>E13/F13</f>
        <v/>
      </c>
      <c r="H13" s="15" t="n">
        <v>182.394462</v>
      </c>
      <c r="I13" s="4">
        <f>H13*B13</f>
        <v/>
      </c>
      <c r="J13" s="4">
        <f>E13+(1-F13)*I13</f>
        <v/>
      </c>
      <c r="K13" s="4">
        <f>IF(C13&gt;=Assumptions!$B$3,G13,J13)</f>
        <v/>
      </c>
      <c r="L13" s="4">
        <f>K13-D13</f>
        <v/>
      </c>
      <c r="M13">
        <f>IF(C13&gt;=Assumptions!$B$3,"Completion factor","PMPM / B-F")</f>
        <v/>
      </c>
    </row>
    <row r="14">
      <c r="A14" s="6" t="inlineStr">
        <is>
          <t>2024-01</t>
        </is>
      </c>
      <c r="B14" s="14" t="n">
        <v>195186</v>
      </c>
      <c r="C14" t="n">
        <v>32</v>
      </c>
      <c r="D14" s="4">
        <f>'OP Triangle'!AH14</f>
        <v/>
      </c>
      <c r="E14" s="4">
        <f>'OP Triangle'!AG14+(D14-'OP Triangle'!AG14)/Assumptions!$B$7</f>
        <v/>
      </c>
      <c r="F14" s="13">
        <f>INDEX('OP Factors'!$E:$E,C14+2)</f>
        <v/>
      </c>
      <c r="G14" s="4">
        <f>E14/F14</f>
        <v/>
      </c>
      <c r="H14" s="15" t="n">
        <v>147.753848</v>
      </c>
      <c r="I14" s="4">
        <f>H14*B14</f>
        <v/>
      </c>
      <c r="J14" s="4">
        <f>E14+(1-F14)*I14</f>
        <v/>
      </c>
      <c r="K14" s="4">
        <f>IF(C14&gt;=Assumptions!$B$3,G14,J14)</f>
        <v/>
      </c>
      <c r="L14" s="4">
        <f>K14-D14</f>
        <v/>
      </c>
      <c r="M14">
        <f>IF(C14&gt;=Assumptions!$B$3,"Completion factor","PMPM / B-F")</f>
        <v/>
      </c>
    </row>
    <row r="15">
      <c r="A15" s="6" t="inlineStr">
        <is>
          <t>2024-02</t>
        </is>
      </c>
      <c r="B15" s="14" t="n">
        <v>195754</v>
      </c>
      <c r="C15" t="n">
        <v>31</v>
      </c>
      <c r="D15" s="4">
        <f>'OP Triangle'!AG15</f>
        <v/>
      </c>
      <c r="E15" s="4">
        <f>'OP Triangle'!AF15+(D15-'OP Triangle'!AF15)/Assumptions!$B$7</f>
        <v/>
      </c>
      <c r="F15" s="13">
        <f>INDEX('OP Factors'!$E:$E,C15+2)</f>
        <v/>
      </c>
      <c r="G15" s="4">
        <f>E15/F15</f>
        <v/>
      </c>
      <c r="H15" s="15" t="n">
        <v>155.28673</v>
      </c>
      <c r="I15" s="4">
        <f>H15*B15</f>
        <v/>
      </c>
      <c r="J15" s="4">
        <f>E15+(1-F15)*I15</f>
        <v/>
      </c>
      <c r="K15" s="4">
        <f>IF(C15&gt;=Assumptions!$B$3,G15,J15)</f>
        <v/>
      </c>
      <c r="L15" s="4">
        <f>K15-D15</f>
        <v/>
      </c>
      <c r="M15">
        <f>IF(C15&gt;=Assumptions!$B$3,"Completion factor","PMPM / B-F")</f>
        <v/>
      </c>
    </row>
    <row r="16">
      <c r="A16" s="6" t="inlineStr">
        <is>
          <t>2024-03</t>
        </is>
      </c>
      <c r="B16" s="14" t="n">
        <v>196371</v>
      </c>
      <c r="C16" t="n">
        <v>30</v>
      </c>
      <c r="D16" s="4">
        <f>'OP Triangle'!AF16</f>
        <v/>
      </c>
      <c r="E16" s="4">
        <f>'OP Triangle'!AE16+(D16-'OP Triangle'!AE16)/Assumptions!$B$7</f>
        <v/>
      </c>
      <c r="F16" s="13">
        <f>INDEX('OP Factors'!$E:$E,C16+2)</f>
        <v/>
      </c>
      <c r="G16" s="4">
        <f>E16/F16</f>
        <v/>
      </c>
      <c r="H16" s="15" t="n">
        <v>161.068086</v>
      </c>
      <c r="I16" s="4">
        <f>H16*B16</f>
        <v/>
      </c>
      <c r="J16" s="4">
        <f>E16+(1-F16)*I16</f>
        <v/>
      </c>
      <c r="K16" s="4">
        <f>IF(C16&gt;=Assumptions!$B$3,G16,J16)</f>
        <v/>
      </c>
      <c r="L16" s="4">
        <f>K16-D16</f>
        <v/>
      </c>
      <c r="M16">
        <f>IF(C16&gt;=Assumptions!$B$3,"Completion factor","PMPM / B-F")</f>
        <v/>
      </c>
    </row>
    <row r="17">
      <c r="A17" s="6" t="inlineStr">
        <is>
          <t>2024-04</t>
        </is>
      </c>
      <c r="B17" s="14" t="n">
        <v>196912</v>
      </c>
      <c r="C17" t="n">
        <v>29</v>
      </c>
      <c r="D17" s="4">
        <f>'OP Triangle'!AE17</f>
        <v/>
      </c>
      <c r="E17" s="4">
        <f>'OP Triangle'!AD17+(D17-'OP Triangle'!AD17)/Assumptions!$B$7</f>
        <v/>
      </c>
      <c r="F17" s="13">
        <f>INDEX('OP Factors'!$E:$E,C17+2)</f>
        <v/>
      </c>
      <c r="G17" s="4">
        <f>E17/F17</f>
        <v/>
      </c>
      <c r="H17" s="15" t="n">
        <v>157.432429</v>
      </c>
      <c r="I17" s="4">
        <f>H17*B17</f>
        <v/>
      </c>
      <c r="J17" s="4">
        <f>E17+(1-F17)*I17</f>
        <v/>
      </c>
      <c r="K17" s="4">
        <f>IF(C17&gt;=Assumptions!$B$3,G17,J17)</f>
        <v/>
      </c>
      <c r="L17" s="4">
        <f>K17-D17</f>
        <v/>
      </c>
      <c r="M17">
        <f>IF(C17&gt;=Assumptions!$B$3,"Completion factor","PMPM / B-F")</f>
        <v/>
      </c>
    </row>
    <row r="18">
      <c r="A18" s="6" t="inlineStr">
        <is>
          <t>2024-05</t>
        </is>
      </c>
      <c r="B18" s="14" t="n">
        <v>197352</v>
      </c>
      <c r="C18" t="n">
        <v>28</v>
      </c>
      <c r="D18" s="4">
        <f>'OP Triangle'!AD18</f>
        <v/>
      </c>
      <c r="E18" s="4">
        <f>'OP Triangle'!AC18+(D18-'OP Triangle'!AC18)/Assumptions!$B$7</f>
        <v/>
      </c>
      <c r="F18" s="13">
        <f>INDEX('OP Factors'!$E:$E,C18+2)</f>
        <v/>
      </c>
      <c r="G18" s="4">
        <f>E18/F18</f>
        <v/>
      </c>
      <c r="H18" s="15" t="n">
        <v>157.271204</v>
      </c>
      <c r="I18" s="4">
        <f>H18*B18</f>
        <v/>
      </c>
      <c r="J18" s="4">
        <f>E18+(1-F18)*I18</f>
        <v/>
      </c>
      <c r="K18" s="4">
        <f>IF(C18&gt;=Assumptions!$B$3,G18,J18)</f>
        <v/>
      </c>
      <c r="L18" s="4">
        <f>K18-D18</f>
        <v/>
      </c>
      <c r="M18">
        <f>IF(C18&gt;=Assumptions!$B$3,"Completion factor","PMPM / B-F")</f>
        <v/>
      </c>
    </row>
    <row r="19">
      <c r="A19" s="6" t="inlineStr">
        <is>
          <t>2024-06</t>
        </is>
      </c>
      <c r="B19" s="14" t="n">
        <v>198493</v>
      </c>
      <c r="C19" t="n">
        <v>27</v>
      </c>
      <c r="D19" s="4">
        <f>'OP Triangle'!AC19</f>
        <v/>
      </c>
      <c r="E19" s="4">
        <f>'OP Triangle'!AB19+(D19-'OP Triangle'!AB19)/Assumptions!$B$7</f>
        <v/>
      </c>
      <c r="F19" s="13">
        <f>INDEX('OP Factors'!$E:$E,C19+2)</f>
        <v/>
      </c>
      <c r="G19" s="4">
        <f>E19/F19</f>
        <v/>
      </c>
      <c r="H19" s="15" t="n">
        <v>160.397593</v>
      </c>
      <c r="I19" s="4">
        <f>H19*B19</f>
        <v/>
      </c>
      <c r="J19" s="4">
        <f>E19+(1-F19)*I19</f>
        <v/>
      </c>
      <c r="K19" s="4">
        <f>IF(C19&gt;=Assumptions!$B$3,G19,J19)</f>
        <v/>
      </c>
      <c r="L19" s="4">
        <f>K19-D19</f>
        <v/>
      </c>
      <c r="M19">
        <f>IF(C19&gt;=Assumptions!$B$3,"Completion factor","PMPM / B-F")</f>
        <v/>
      </c>
    </row>
    <row r="20">
      <c r="A20" s="6" t="inlineStr">
        <is>
          <t>2024-07</t>
        </is>
      </c>
      <c r="B20" s="14" t="n">
        <v>198829</v>
      </c>
      <c r="C20" t="n">
        <v>26</v>
      </c>
      <c r="D20" s="4">
        <f>'OP Triangle'!AB20</f>
        <v/>
      </c>
      <c r="E20" s="4">
        <f>'OP Triangle'!AA20+(D20-'OP Triangle'!AA20)/Assumptions!$B$7</f>
        <v/>
      </c>
      <c r="F20" s="13">
        <f>INDEX('OP Factors'!$E:$E,C20+2)</f>
        <v/>
      </c>
      <c r="G20" s="4">
        <f>E20/F20</f>
        <v/>
      </c>
      <c r="H20" s="15" t="n">
        <v>158.331463</v>
      </c>
      <c r="I20" s="4">
        <f>H20*B20</f>
        <v/>
      </c>
      <c r="J20" s="4">
        <f>E20+(1-F20)*I20</f>
        <v/>
      </c>
      <c r="K20" s="4">
        <f>IF(C20&gt;=Assumptions!$B$3,G20,J20)</f>
        <v/>
      </c>
      <c r="L20" s="4">
        <f>K20-D20</f>
        <v/>
      </c>
      <c r="M20">
        <f>IF(C20&gt;=Assumptions!$B$3,"Completion factor","PMPM / B-F")</f>
        <v/>
      </c>
    </row>
    <row r="21">
      <c r="A21" s="6" t="inlineStr">
        <is>
          <t>2024-08</t>
        </is>
      </c>
      <c r="B21" s="14" t="n">
        <v>199099</v>
      </c>
      <c r="C21" t="n">
        <v>25</v>
      </c>
      <c r="D21" s="4">
        <f>'OP Triangle'!AA21</f>
        <v/>
      </c>
      <c r="E21" s="4">
        <f>'OP Triangle'!Z21+(D21-'OP Triangle'!Z21)/Assumptions!$B$7</f>
        <v/>
      </c>
      <c r="F21" s="13">
        <f>INDEX('OP Factors'!$E:$E,C21+2)</f>
        <v/>
      </c>
      <c r="G21" s="4">
        <f>E21/F21</f>
        <v/>
      </c>
      <c r="H21" s="15" t="n">
        <v>172.463375</v>
      </c>
      <c r="I21" s="4">
        <f>H21*B21</f>
        <v/>
      </c>
      <c r="J21" s="4">
        <f>E21+(1-F21)*I21</f>
        <v/>
      </c>
      <c r="K21" s="4">
        <f>IF(C21&gt;=Assumptions!$B$3,G21,J21)</f>
        <v/>
      </c>
      <c r="L21" s="4">
        <f>K21-D21</f>
        <v/>
      </c>
      <c r="M21">
        <f>IF(C21&gt;=Assumptions!$B$3,"Completion factor","PMPM / B-F")</f>
        <v/>
      </c>
    </row>
    <row r="22">
      <c r="A22" s="6" t="inlineStr">
        <is>
          <t>2024-09</t>
        </is>
      </c>
      <c r="B22" s="14" t="n">
        <v>199429</v>
      </c>
      <c r="C22" t="n">
        <v>24</v>
      </c>
      <c r="D22" s="4">
        <f>'OP Triangle'!Z22</f>
        <v/>
      </c>
      <c r="E22" s="4">
        <f>'OP Triangle'!Y22+(D22-'OP Triangle'!Y22)/Assumptions!$B$7</f>
        <v/>
      </c>
      <c r="F22" s="13">
        <f>INDEX('OP Factors'!$E:$E,C22+2)</f>
        <v/>
      </c>
      <c r="G22" s="4">
        <f>E22/F22</f>
        <v/>
      </c>
      <c r="H22" s="15" t="n">
        <v>166.386503</v>
      </c>
      <c r="I22" s="4">
        <f>H22*B22</f>
        <v/>
      </c>
      <c r="J22" s="4">
        <f>E22+(1-F22)*I22</f>
        <v/>
      </c>
      <c r="K22" s="4">
        <f>IF(C22&gt;=Assumptions!$B$3,G22,J22)</f>
        <v/>
      </c>
      <c r="L22" s="4">
        <f>K22-D22</f>
        <v/>
      </c>
      <c r="M22">
        <f>IF(C22&gt;=Assumptions!$B$3,"Completion factor","PMPM / B-F")</f>
        <v/>
      </c>
    </row>
    <row r="23">
      <c r="A23" s="6" t="inlineStr">
        <is>
          <t>2024-10</t>
        </is>
      </c>
      <c r="B23" s="14" t="n">
        <v>199749</v>
      </c>
      <c r="C23" t="n">
        <v>23</v>
      </c>
      <c r="D23" s="4">
        <f>'OP Triangle'!Y23</f>
        <v/>
      </c>
      <c r="E23" s="4">
        <f>'OP Triangle'!X23+(D23-'OP Triangle'!X23)/Assumptions!$B$7</f>
        <v/>
      </c>
      <c r="F23" s="13">
        <f>INDEX('OP Factors'!$E:$E,C23+2)</f>
        <v/>
      </c>
      <c r="G23" s="4">
        <f>E23/F23</f>
        <v/>
      </c>
      <c r="H23" s="15" t="n">
        <v>178.226842</v>
      </c>
      <c r="I23" s="4">
        <f>H23*B23</f>
        <v/>
      </c>
      <c r="J23" s="4">
        <f>E23+(1-F23)*I23</f>
        <v/>
      </c>
      <c r="K23" s="4">
        <f>IF(C23&gt;=Assumptions!$B$3,G23,J23)</f>
        <v/>
      </c>
      <c r="L23" s="4">
        <f>K23-D23</f>
        <v/>
      </c>
      <c r="M23">
        <f>IF(C23&gt;=Assumptions!$B$3,"Completion factor","PMPM / B-F")</f>
        <v/>
      </c>
    </row>
    <row r="24">
      <c r="A24" s="6" t="inlineStr">
        <is>
          <t>2024-11</t>
        </is>
      </c>
      <c r="B24" s="14" t="n">
        <v>200252</v>
      </c>
      <c r="C24" t="n">
        <v>22</v>
      </c>
      <c r="D24" s="4">
        <f>'OP Triangle'!X24</f>
        <v/>
      </c>
      <c r="E24" s="4">
        <f>'OP Triangle'!W24+(D24-'OP Triangle'!W24)/Assumptions!$B$7</f>
        <v/>
      </c>
      <c r="F24" s="13">
        <f>INDEX('OP Factors'!$E:$E,C24+2)</f>
        <v/>
      </c>
      <c r="G24" s="4">
        <f>E24/F24</f>
        <v/>
      </c>
      <c r="H24" s="15" t="n">
        <v>174.996872</v>
      </c>
      <c r="I24" s="4">
        <f>H24*B24</f>
        <v/>
      </c>
      <c r="J24" s="4">
        <f>E24+(1-F24)*I24</f>
        <v/>
      </c>
      <c r="K24" s="4">
        <f>IF(C24&gt;=Assumptions!$B$3,G24,J24)</f>
        <v/>
      </c>
      <c r="L24" s="4">
        <f>K24-D24</f>
        <v/>
      </c>
      <c r="M24">
        <f>IF(C24&gt;=Assumptions!$B$3,"Completion factor","PMPM / B-F")</f>
        <v/>
      </c>
    </row>
    <row r="25">
      <c r="A25" s="6" t="inlineStr">
        <is>
          <t>2024-12</t>
        </is>
      </c>
      <c r="B25" s="14" t="n">
        <v>200297</v>
      </c>
      <c r="C25" t="n">
        <v>21</v>
      </c>
      <c r="D25" s="4">
        <f>'OP Triangle'!W25</f>
        <v/>
      </c>
      <c r="E25" s="4">
        <f>'OP Triangle'!V25+(D25-'OP Triangle'!V25)/Assumptions!$B$7</f>
        <v/>
      </c>
      <c r="F25" s="13">
        <f>INDEX('OP Factors'!$E:$E,C25+2)</f>
        <v/>
      </c>
      <c r="G25" s="4">
        <f>E25/F25</f>
        <v/>
      </c>
      <c r="H25" s="15" t="n">
        <v>198.888577</v>
      </c>
      <c r="I25" s="4">
        <f>H25*B25</f>
        <v/>
      </c>
      <c r="J25" s="4">
        <f>E25+(1-F25)*I25</f>
        <v/>
      </c>
      <c r="K25" s="4">
        <f>IF(C25&gt;=Assumptions!$B$3,G25,J25)</f>
        <v/>
      </c>
      <c r="L25" s="4">
        <f>K25-D25</f>
        <v/>
      </c>
      <c r="M25">
        <f>IF(C25&gt;=Assumptions!$B$3,"Completion factor","PMPM / B-F")</f>
        <v/>
      </c>
    </row>
    <row r="26">
      <c r="A26" s="6" t="inlineStr">
        <is>
          <t>2025-01</t>
        </is>
      </c>
      <c r="B26" s="14" t="n">
        <v>206379</v>
      </c>
      <c r="C26" t="n">
        <v>20</v>
      </c>
      <c r="D26" s="4">
        <f>'OP Triangle'!V26</f>
        <v/>
      </c>
      <c r="E26" s="4">
        <f>'OP Triangle'!U26+(D26-'OP Triangle'!U26)/Assumptions!$B$7</f>
        <v/>
      </c>
      <c r="F26" s="13">
        <f>INDEX('OP Factors'!$E:$E,C26+2)</f>
        <v/>
      </c>
      <c r="G26" s="4">
        <f>E26/F26</f>
        <v/>
      </c>
      <c r="H26" s="15" t="n">
        <v>161.115377</v>
      </c>
      <c r="I26" s="4">
        <f>H26*B26</f>
        <v/>
      </c>
      <c r="J26" s="4">
        <f>E26+(1-F26)*I26</f>
        <v/>
      </c>
      <c r="K26" s="4">
        <f>IF(C26&gt;=Assumptions!$B$3,G26,J26)</f>
        <v/>
      </c>
      <c r="L26" s="4">
        <f>K26-D26</f>
        <v/>
      </c>
      <c r="M26">
        <f>IF(C26&gt;=Assumptions!$B$3,"Completion factor","PMPM / B-F")</f>
        <v/>
      </c>
    </row>
    <row r="27">
      <c r="A27" s="6" t="inlineStr">
        <is>
          <t>2025-02</t>
        </is>
      </c>
      <c r="B27" s="14" t="n">
        <v>206414</v>
      </c>
      <c r="C27" t="n">
        <v>19</v>
      </c>
      <c r="D27" s="4">
        <f>'OP Triangle'!U27</f>
        <v/>
      </c>
      <c r="E27" s="4">
        <f>'OP Triangle'!T27+(D27-'OP Triangle'!T27)/Assumptions!$B$7</f>
        <v/>
      </c>
      <c r="F27" s="13">
        <f>INDEX('OP Factors'!$E:$E,C27+2)</f>
        <v/>
      </c>
      <c r="G27" s="4">
        <f>E27/F27</f>
        <v/>
      </c>
      <c r="H27" s="15" t="n">
        <v>169.329465</v>
      </c>
      <c r="I27" s="4">
        <f>H27*B27</f>
        <v/>
      </c>
      <c r="J27" s="4">
        <f>E27+(1-F27)*I27</f>
        <v/>
      </c>
      <c r="K27" s="4">
        <f>IF(C27&gt;=Assumptions!$B$3,G27,J27)</f>
        <v/>
      </c>
      <c r="L27" s="4">
        <f>K27-D27</f>
        <v/>
      </c>
      <c r="M27">
        <f>IF(C27&gt;=Assumptions!$B$3,"Completion factor","PMPM / B-F")</f>
        <v/>
      </c>
    </row>
    <row r="28">
      <c r="A28" s="6" t="inlineStr">
        <is>
          <t>2025-03</t>
        </is>
      </c>
      <c r="B28" s="14" t="n">
        <v>207034</v>
      </c>
      <c r="C28" t="n">
        <v>18</v>
      </c>
      <c r="D28" s="4">
        <f>'OP Triangle'!T28</f>
        <v/>
      </c>
      <c r="E28" s="4">
        <f>'OP Triangle'!S28+(D28-'OP Triangle'!S28)/Assumptions!$B$7</f>
        <v/>
      </c>
      <c r="F28" s="13">
        <f>INDEX('OP Factors'!$E:$E,C28+2)</f>
        <v/>
      </c>
      <c r="G28" s="4">
        <f>E28/F28</f>
        <v/>
      </c>
      <c r="H28" s="15" t="n">
        <v>175.633635</v>
      </c>
      <c r="I28" s="4">
        <f>H28*B28</f>
        <v/>
      </c>
      <c r="J28" s="4">
        <f>E28+(1-F28)*I28</f>
        <v/>
      </c>
      <c r="K28" s="4">
        <f>IF(C28&gt;=Assumptions!$B$3,G28,J28)</f>
        <v/>
      </c>
      <c r="L28" s="4">
        <f>K28-D28</f>
        <v/>
      </c>
      <c r="M28">
        <f>IF(C28&gt;=Assumptions!$B$3,"Completion factor","PMPM / B-F")</f>
        <v/>
      </c>
    </row>
    <row r="29">
      <c r="A29" s="6" t="inlineStr">
        <is>
          <t>2025-04</t>
        </is>
      </c>
      <c r="B29" s="14" t="n">
        <v>207074</v>
      </c>
      <c r="C29" t="n">
        <v>17</v>
      </c>
      <c r="D29" s="4">
        <f>'OP Triangle'!S29</f>
        <v/>
      </c>
      <c r="E29" s="4">
        <f>'OP Triangle'!R29+(D29-'OP Triangle'!R29)/Assumptions!$B$7</f>
        <v/>
      </c>
      <c r="F29" s="13">
        <f>INDEX('OP Factors'!$E:$E,C29+2)</f>
        <v/>
      </c>
      <c r="G29" s="4">
        <f>E29/F29</f>
        <v/>
      </c>
      <c r="H29" s="15" t="n">
        <v>171.669202</v>
      </c>
      <c r="I29" s="4">
        <f>H29*B29</f>
        <v/>
      </c>
      <c r="J29" s="4">
        <f>E29+(1-F29)*I29</f>
        <v/>
      </c>
      <c r="K29" s="4">
        <f>IF(C29&gt;=Assumptions!$B$3,G29,J29)</f>
        <v/>
      </c>
      <c r="L29" s="4">
        <f>K29-D29</f>
        <v/>
      </c>
      <c r="M29">
        <f>IF(C29&gt;=Assumptions!$B$3,"Completion factor","PMPM / B-F")</f>
        <v/>
      </c>
    </row>
    <row r="30">
      <c r="A30" s="6" t="inlineStr">
        <is>
          <t>2025-05</t>
        </is>
      </c>
      <c r="B30" s="14" t="n">
        <v>207656</v>
      </c>
      <c r="C30" t="n">
        <v>16</v>
      </c>
      <c r="D30" s="4">
        <f>'OP Triangle'!R30</f>
        <v/>
      </c>
      <c r="E30" s="4">
        <f>'OP Triangle'!Q30+(D30-'OP Triangle'!Q30)/Assumptions!$B$7</f>
        <v/>
      </c>
      <c r="F30" s="13">
        <f>INDEX('OP Factors'!$E:$E,C30+2)</f>
        <v/>
      </c>
      <c r="G30" s="4">
        <f>E30/F30</f>
        <v/>
      </c>
      <c r="H30" s="15" t="n">
        <v>171.493397</v>
      </c>
      <c r="I30" s="4">
        <f>H30*B30</f>
        <v/>
      </c>
      <c r="J30" s="4">
        <f>E30+(1-F30)*I30</f>
        <v/>
      </c>
      <c r="K30" s="4">
        <f>IF(C30&gt;=Assumptions!$B$3,G30,J30)</f>
        <v/>
      </c>
      <c r="L30" s="4">
        <f>K30-D30</f>
        <v/>
      </c>
      <c r="M30">
        <f>IF(C30&gt;=Assumptions!$B$3,"Completion factor","PMPM / B-F")</f>
        <v/>
      </c>
    </row>
    <row r="31">
      <c r="A31" s="6" t="inlineStr">
        <is>
          <t>2025-06</t>
        </is>
      </c>
      <c r="B31" s="14" t="n">
        <v>208551</v>
      </c>
      <c r="C31" t="n">
        <v>15</v>
      </c>
      <c r="D31" s="4">
        <f>'OP Triangle'!Q31</f>
        <v/>
      </c>
      <c r="E31" s="4">
        <f>'OP Triangle'!P31+(D31-'OP Triangle'!P31)/Assumptions!$B$7</f>
        <v/>
      </c>
      <c r="F31" s="13">
        <f>INDEX('OP Factors'!$E:$E,C31+2)</f>
        <v/>
      </c>
      <c r="G31" s="4">
        <f>E31/F31</f>
        <v/>
      </c>
      <c r="H31" s="15" t="n">
        <v>174.902509</v>
      </c>
      <c r="I31" s="4">
        <f>H31*B31</f>
        <v/>
      </c>
      <c r="J31" s="4">
        <f>E31+(1-F31)*I31</f>
        <v/>
      </c>
      <c r="K31" s="4">
        <f>IF(C31&gt;=Assumptions!$B$3,G31,J31)</f>
        <v/>
      </c>
      <c r="L31" s="4">
        <f>K31-D31</f>
        <v/>
      </c>
      <c r="M31">
        <f>IF(C31&gt;=Assumptions!$B$3,"Completion factor","PMPM / B-F")</f>
        <v/>
      </c>
    </row>
    <row r="32">
      <c r="A32" s="6" t="inlineStr">
        <is>
          <t>2025-07</t>
        </is>
      </c>
      <c r="B32" s="14" t="n">
        <v>208290</v>
      </c>
      <c r="C32" t="n">
        <v>14</v>
      </c>
      <c r="D32" s="4">
        <f>'OP Triangle'!P32</f>
        <v/>
      </c>
      <c r="E32" s="4">
        <f>'OP Triangle'!O32+(D32-'OP Triangle'!O32)/Assumptions!$B$7</f>
        <v/>
      </c>
      <c r="F32" s="13">
        <f>INDEX('OP Factors'!$E:$E,C32+2)</f>
        <v/>
      </c>
      <c r="G32" s="4">
        <f>E32/F32</f>
        <v/>
      </c>
      <c r="H32" s="15" t="n">
        <v>172.649536</v>
      </c>
      <c r="I32" s="4">
        <f>H32*B32</f>
        <v/>
      </c>
      <c r="J32" s="4">
        <f>E32+(1-F32)*I32</f>
        <v/>
      </c>
      <c r="K32" s="4">
        <f>IF(C32&gt;=Assumptions!$B$3,G32,J32)</f>
        <v/>
      </c>
      <c r="L32" s="4">
        <f>K32-D32</f>
        <v/>
      </c>
      <c r="M32">
        <f>IF(C32&gt;=Assumptions!$B$3,"Completion factor","PMPM / B-F")</f>
        <v/>
      </c>
    </row>
    <row r="33">
      <c r="A33" s="6" t="inlineStr">
        <is>
          <t>2025-08</t>
        </is>
      </c>
      <c r="B33" s="14" t="n">
        <v>209114</v>
      </c>
      <c r="C33" t="n">
        <v>13</v>
      </c>
      <c r="D33" s="4">
        <f>'OP Triangle'!O33</f>
        <v/>
      </c>
      <c r="E33" s="4">
        <f>'OP Triangle'!N33+(D33-'OP Triangle'!N33)/Assumptions!$B$7</f>
        <v/>
      </c>
      <c r="F33" s="13">
        <f>INDEX('OP Factors'!$E:$E,C33+2)</f>
        <v/>
      </c>
      <c r="G33" s="4">
        <f>E33/F33</f>
        <v/>
      </c>
      <c r="H33" s="15" t="n">
        <v>188.059411</v>
      </c>
      <c r="I33" s="4">
        <f>H33*B33</f>
        <v/>
      </c>
      <c r="J33" s="4">
        <f>E33+(1-F33)*I33</f>
        <v/>
      </c>
      <c r="K33" s="4">
        <f>IF(C33&gt;=Assumptions!$B$3,G33,J33)</f>
        <v/>
      </c>
      <c r="L33" s="4">
        <f>K33-D33</f>
        <v/>
      </c>
      <c r="M33">
        <f>IF(C33&gt;=Assumptions!$B$3,"Completion factor","PMPM / B-F")</f>
        <v/>
      </c>
    </row>
    <row r="34">
      <c r="A34" s="6" t="inlineStr">
        <is>
          <t>2025-09</t>
        </is>
      </c>
      <c r="B34" s="14" t="n">
        <v>209604</v>
      </c>
      <c r="C34" t="n">
        <v>12</v>
      </c>
      <c r="D34" s="4">
        <f>'OP Triangle'!N34</f>
        <v/>
      </c>
      <c r="E34" s="4">
        <f>'OP Triangle'!M34+(D34-'OP Triangle'!M34)/Assumptions!$B$7</f>
        <v/>
      </c>
      <c r="F34" s="13">
        <f>INDEX('OP Factors'!$E:$E,C34+2)</f>
        <v/>
      </c>
      <c r="G34" s="4">
        <f>E34/F34</f>
        <v/>
      </c>
      <c r="H34" s="15" t="n">
        <v>181.433002</v>
      </c>
      <c r="I34" s="4">
        <f>H34*B34</f>
        <v/>
      </c>
      <c r="J34" s="4">
        <f>E34+(1-F34)*I34</f>
        <v/>
      </c>
      <c r="K34" s="4">
        <f>IF(C34&gt;=Assumptions!$B$3,G34,J34)</f>
        <v/>
      </c>
      <c r="L34" s="4">
        <f>K34-D34</f>
        <v/>
      </c>
      <c r="M34">
        <f>IF(C34&gt;=Assumptions!$B$3,"Completion factor","PMPM / B-F")</f>
        <v/>
      </c>
    </row>
    <row r="35">
      <c r="A35" s="6" t="inlineStr">
        <is>
          <t>2025-10</t>
        </is>
      </c>
      <c r="B35" s="14" t="n">
        <v>210074</v>
      </c>
      <c r="C35" t="n">
        <v>11</v>
      </c>
      <c r="D35" s="4">
        <f>'OP Triangle'!M35</f>
        <v/>
      </c>
      <c r="E35" s="4">
        <f>'OP Triangle'!L35+(D35-'OP Triangle'!L35)/Assumptions!$B$7</f>
        <v/>
      </c>
      <c r="F35" s="13">
        <f>INDEX('OP Factors'!$E:$E,C35+2)</f>
        <v/>
      </c>
      <c r="G35" s="4">
        <f>E35/F35</f>
        <v/>
      </c>
      <c r="H35" s="15" t="n">
        <v>194.344075</v>
      </c>
      <c r="I35" s="4">
        <f>H35*B35</f>
        <v/>
      </c>
      <c r="J35" s="4">
        <f>E35+(1-F35)*I35</f>
        <v/>
      </c>
      <c r="K35" s="4">
        <f>IF(C35&gt;=Assumptions!$B$3,G35,J35)</f>
        <v/>
      </c>
      <c r="L35" s="4">
        <f>K35-D35</f>
        <v/>
      </c>
      <c r="M35">
        <f>IF(C35&gt;=Assumptions!$B$3,"Completion factor","PMPM / B-F")</f>
        <v/>
      </c>
    </row>
    <row r="36">
      <c r="A36" s="6" t="inlineStr">
        <is>
          <t>2025-11</t>
        </is>
      </c>
      <c r="B36" s="14" t="n">
        <v>210375</v>
      </c>
      <c r="C36" t="n">
        <v>10</v>
      </c>
      <c r="D36" s="4">
        <f>'OP Triangle'!L36</f>
        <v/>
      </c>
      <c r="E36" s="4">
        <f>'OP Triangle'!K36+(D36-'OP Triangle'!K36)/Assumptions!$B$7</f>
        <v/>
      </c>
      <c r="F36" s="13">
        <f>INDEX('OP Factors'!$E:$E,C36+2)</f>
        <v/>
      </c>
      <c r="G36" s="4">
        <f>E36/F36</f>
        <v/>
      </c>
      <c r="H36" s="15" t="n">
        <v>190.822015</v>
      </c>
      <c r="I36" s="4">
        <f>H36*B36</f>
        <v/>
      </c>
      <c r="J36" s="4">
        <f>E36+(1-F36)*I36</f>
        <v/>
      </c>
      <c r="K36" s="4">
        <f>IF(C36&gt;=Assumptions!$B$3,G36,J36)</f>
        <v/>
      </c>
      <c r="L36" s="4">
        <f>K36-D36</f>
        <v/>
      </c>
      <c r="M36">
        <f>IF(C36&gt;=Assumptions!$B$3,"Completion factor","PMPM / B-F")</f>
        <v/>
      </c>
    </row>
    <row r="37">
      <c r="A37" s="6" t="inlineStr">
        <is>
          <t>2025-12</t>
        </is>
      </c>
      <c r="B37" s="14" t="n">
        <v>211296</v>
      </c>
      <c r="C37" t="n">
        <v>9</v>
      </c>
      <c r="D37" s="4">
        <f>'OP Triangle'!K37</f>
        <v/>
      </c>
      <c r="E37" s="4">
        <f>'OP Triangle'!J37+(D37-'OP Triangle'!J37)/Assumptions!$B$7</f>
        <v/>
      </c>
      <c r="F37" s="13">
        <f>INDEX('OP Factors'!$E:$E,C37+2)</f>
        <v/>
      </c>
      <c r="G37" s="4">
        <f>E37/F37</f>
        <v/>
      </c>
      <c r="H37" s="15" t="n">
        <v>216.874271</v>
      </c>
      <c r="I37" s="4">
        <f>H37*B37</f>
        <v/>
      </c>
      <c r="J37" s="4">
        <f>E37+(1-F37)*I37</f>
        <v/>
      </c>
      <c r="K37" s="4">
        <f>IF(C37&gt;=Assumptions!$B$3,G37,J37)</f>
        <v/>
      </c>
      <c r="L37" s="4">
        <f>K37-D37</f>
        <v/>
      </c>
      <c r="M37">
        <f>IF(C37&gt;=Assumptions!$B$3,"Completion factor","PMPM / B-F")</f>
        <v/>
      </c>
    </row>
    <row r="38">
      <c r="A38" s="6" t="inlineStr">
        <is>
          <t>2026-01</t>
        </is>
      </c>
      <c r="B38" s="14" t="n">
        <v>218809</v>
      </c>
      <c r="C38" t="n">
        <v>8</v>
      </c>
      <c r="D38" s="4">
        <f>'OP Triangle'!J38</f>
        <v/>
      </c>
      <c r="E38" s="4">
        <f>'OP Triangle'!I38+(D38-'OP Triangle'!I38)/Assumptions!$B$7</f>
        <v/>
      </c>
      <c r="F38" s="13">
        <f>INDEX('OP Factors'!$E:$E,C38+2)</f>
        <v/>
      </c>
      <c r="G38" s="4">
        <f>E38/F38</f>
        <v/>
      </c>
      <c r="H38" s="15" t="n">
        <v>175.685202</v>
      </c>
      <c r="I38" s="4">
        <f>H38*B38</f>
        <v/>
      </c>
      <c r="J38" s="4">
        <f>E38+(1-F38)*I38</f>
        <v/>
      </c>
      <c r="K38" s="4">
        <f>IF(C38&gt;=Assumptions!$B$3,G38,J38)</f>
        <v/>
      </c>
      <c r="L38" s="4">
        <f>K38-D38</f>
        <v/>
      </c>
      <c r="M38">
        <f>IF(C38&gt;=Assumptions!$B$3,"Completion factor","PMPM / B-F")</f>
        <v/>
      </c>
    </row>
    <row r="39">
      <c r="A39" s="6" t="inlineStr">
        <is>
          <t>2026-02</t>
        </is>
      </c>
      <c r="B39" s="14" t="n">
        <v>219372</v>
      </c>
      <c r="C39" t="n">
        <v>7</v>
      </c>
      <c r="D39" s="4">
        <f>'OP Triangle'!I39</f>
        <v/>
      </c>
      <c r="E39" s="4">
        <f>'OP Triangle'!H39+(D39-'OP Triangle'!H39)/Assumptions!$B$7</f>
        <v/>
      </c>
      <c r="F39" s="13">
        <f>INDEX('OP Factors'!$E:$E,C39+2)</f>
        <v/>
      </c>
      <c r="G39" s="4">
        <f>E39/F39</f>
        <v/>
      </c>
      <c r="H39" s="15" t="n">
        <v>184.642099</v>
      </c>
      <c r="I39" s="4">
        <f>H39*B39</f>
        <v/>
      </c>
      <c r="J39" s="4">
        <f>E39+(1-F39)*I39</f>
        <v/>
      </c>
      <c r="K39" s="4">
        <f>IF(C39&gt;=Assumptions!$B$3,G39,J39)</f>
        <v/>
      </c>
      <c r="L39" s="4">
        <f>K39-D39</f>
        <v/>
      </c>
      <c r="M39">
        <f>IF(C39&gt;=Assumptions!$B$3,"Completion factor","PMPM / B-F")</f>
        <v/>
      </c>
    </row>
    <row r="40">
      <c r="A40" s="6" t="inlineStr">
        <is>
          <t>2026-03</t>
        </is>
      </c>
      <c r="B40" s="14" t="n">
        <v>219455</v>
      </c>
      <c r="C40" t="n">
        <v>6</v>
      </c>
      <c r="D40" s="4">
        <f>'OP Triangle'!H40</f>
        <v/>
      </c>
      <c r="E40" s="4">
        <f>'OP Triangle'!G40+(D40-'OP Triangle'!G40)/Assumptions!$B$7</f>
        <v/>
      </c>
      <c r="F40" s="13">
        <f>INDEX('OP Factors'!$E:$E,C40+2)</f>
        <v/>
      </c>
      <c r="G40" s="4">
        <f>E40/F40</f>
        <v/>
      </c>
      <c r="H40" s="15" t="n">
        <v>191.516361</v>
      </c>
      <c r="I40" s="4">
        <f>H40*B40</f>
        <v/>
      </c>
      <c r="J40" s="4">
        <f>E40+(1-F40)*I40</f>
        <v/>
      </c>
      <c r="K40" s="4">
        <f>IF(C40&gt;=Assumptions!$B$3,G40,J40)</f>
        <v/>
      </c>
      <c r="L40" s="4">
        <f>K40-D40</f>
        <v/>
      </c>
      <c r="M40">
        <f>IF(C40&gt;=Assumptions!$B$3,"Completion factor","PMPM / B-F")</f>
        <v/>
      </c>
    </row>
    <row r="41">
      <c r="A41" s="6" t="inlineStr">
        <is>
          <t>2026-04</t>
        </is>
      </c>
      <c r="B41" s="14" t="n">
        <v>219206</v>
      </c>
      <c r="C41" t="n">
        <v>5</v>
      </c>
      <c r="D41" s="4">
        <f>'OP Triangle'!G41</f>
        <v/>
      </c>
      <c r="E41" s="4">
        <f>'OP Triangle'!F41+(D41-'OP Triangle'!F41)/Assumptions!$B$7</f>
        <v/>
      </c>
      <c r="F41" s="13">
        <f>INDEX('OP Factors'!$E:$E,C41+2)</f>
        <v/>
      </c>
      <c r="G41" s="4">
        <f>E41/F41</f>
        <v/>
      </c>
      <c r="H41" s="15" t="n">
        <v>187.193421</v>
      </c>
      <c r="I41" s="4">
        <f>H41*B41</f>
        <v/>
      </c>
      <c r="J41" s="4">
        <f>E41+(1-F41)*I41</f>
        <v/>
      </c>
      <c r="K41" s="4">
        <f>IF(C41&gt;=Assumptions!$B$3,G41,J41)</f>
        <v/>
      </c>
      <c r="L41" s="4">
        <f>K41-D41</f>
        <v/>
      </c>
      <c r="M41">
        <f>IF(C41&gt;=Assumptions!$B$3,"Completion factor","PMPM / B-F")</f>
        <v/>
      </c>
    </row>
    <row r="42">
      <c r="A42" s="6" t="inlineStr">
        <is>
          <t>2026-05</t>
        </is>
      </c>
      <c r="B42" s="14" t="n">
        <v>219383</v>
      </c>
      <c r="C42" t="n">
        <v>4</v>
      </c>
      <c r="D42" s="4">
        <f>'OP Triangle'!F42</f>
        <v/>
      </c>
      <c r="E42" s="4">
        <f>'OP Triangle'!E42+(D42-'OP Triangle'!E42)/Assumptions!$B$7</f>
        <v/>
      </c>
      <c r="F42" s="13">
        <f>INDEX('OP Factors'!$E:$E,C42+2)</f>
        <v/>
      </c>
      <c r="G42" s="4">
        <f>E42/F42</f>
        <v/>
      </c>
      <c r="H42" s="15" t="n">
        <v>187.001717</v>
      </c>
      <c r="I42" s="4">
        <f>H42*B42</f>
        <v/>
      </c>
      <c r="J42" s="4">
        <f>E42+(1-F42)*I42</f>
        <v/>
      </c>
      <c r="K42" s="4">
        <f>IF(C42&gt;=Assumptions!$B$3,G42,J42)</f>
        <v/>
      </c>
      <c r="L42" s="4">
        <f>K42-D42</f>
        <v/>
      </c>
      <c r="M42">
        <f>IF(C42&gt;=Assumptions!$B$3,"Completion factor","PMPM / B-F")</f>
        <v/>
      </c>
    </row>
    <row r="43">
      <c r="A43" s="6" t="inlineStr">
        <is>
          <t>2026-06</t>
        </is>
      </c>
      <c r="B43" s="14" t="n">
        <v>219891</v>
      </c>
      <c r="C43" t="n">
        <v>3</v>
      </c>
      <c r="D43" s="4">
        <f>'OP Triangle'!E43</f>
        <v/>
      </c>
      <c r="E43" s="4">
        <f>'OP Triangle'!D43+(D43-'OP Triangle'!D43)/Assumptions!$B$7</f>
        <v/>
      </c>
      <c r="F43" s="13">
        <f>INDEX('OP Factors'!$E:$E,C43+2)</f>
        <v/>
      </c>
      <c r="G43" s="4">
        <f>E43/F43</f>
        <v/>
      </c>
      <c r="H43" s="15" t="n">
        <v>190.719119</v>
      </c>
      <c r="I43" s="4">
        <f>H43*B43</f>
        <v/>
      </c>
      <c r="J43" s="4">
        <f>E43+(1-F43)*I43</f>
        <v/>
      </c>
      <c r="K43" s="4">
        <f>IF(C43&gt;=Assumptions!$B$3,G43,J43)</f>
        <v/>
      </c>
      <c r="L43" s="4">
        <f>K43-D43</f>
        <v/>
      </c>
      <c r="M43">
        <f>IF(C43&gt;=Assumptions!$B$3,"Completion factor","PMPM / B-F")</f>
        <v/>
      </c>
    </row>
    <row r="44">
      <c r="A44" s="6" t="inlineStr">
        <is>
          <t>2026-07</t>
        </is>
      </c>
      <c r="B44" s="14" t="n">
        <v>220771</v>
      </c>
      <c r="C44" t="n">
        <v>2</v>
      </c>
      <c r="D44" s="4">
        <f>'OP Triangle'!D44</f>
        <v/>
      </c>
      <c r="E44" s="4">
        <f>'OP Triangle'!C44+(D44-'OP Triangle'!C44)/Assumptions!$B$7</f>
        <v/>
      </c>
      <c r="F44" s="13">
        <f>INDEX('OP Factors'!$E:$E,C44+2)</f>
        <v/>
      </c>
      <c r="G44" s="4">
        <f>E44/F44</f>
        <v/>
      </c>
      <c r="H44" s="15" t="n">
        <v>188.262407</v>
      </c>
      <c r="I44" s="4">
        <f>H44*B44</f>
        <v/>
      </c>
      <c r="J44" s="4">
        <f>E44+(1-F44)*I44</f>
        <v/>
      </c>
      <c r="K44" s="4">
        <f>IF(C44&gt;=Assumptions!$B$3,G44,J44)</f>
        <v/>
      </c>
      <c r="L44" s="4">
        <f>K44-D44</f>
        <v/>
      </c>
      <c r="M44">
        <f>IF(C44&gt;=Assumptions!$B$3,"Completion factor","PMPM / B-F")</f>
        <v/>
      </c>
    </row>
    <row r="45">
      <c r="A45" s="6" t="inlineStr">
        <is>
          <t>2026-08</t>
        </is>
      </c>
      <c r="B45" s="14" t="n">
        <v>221871</v>
      </c>
      <c r="C45" t="n">
        <v>1</v>
      </c>
      <c r="D45" s="4">
        <f>'OP Triangle'!C45</f>
        <v/>
      </c>
      <c r="E45" s="4">
        <f>'OP Triangle'!B45+(D45-'OP Triangle'!B45)/Assumptions!$B$7</f>
        <v/>
      </c>
      <c r="F45" s="13">
        <f>INDEX('OP Factors'!$E:$E,C45+2)</f>
        <v/>
      </c>
      <c r="G45" s="4">
        <f>E45/F45</f>
        <v/>
      </c>
      <c r="H45" s="15" t="n">
        <v>205.065813</v>
      </c>
      <c r="I45" s="4">
        <f>H45*B45</f>
        <v/>
      </c>
      <c r="J45" s="4">
        <f>E45+(1-F45)*I45</f>
        <v/>
      </c>
      <c r="K45" s="4">
        <f>IF(C45&gt;=Assumptions!$B$3,G45,J45)</f>
        <v/>
      </c>
      <c r="L45" s="4">
        <f>K45-D45</f>
        <v/>
      </c>
      <c r="M45">
        <f>IF(C45&gt;=Assumptions!$B$3,"Completion factor","PMPM / B-F")</f>
        <v/>
      </c>
    </row>
    <row r="46">
      <c r="A46" s="6" t="inlineStr">
        <is>
          <t>2026-09</t>
        </is>
      </c>
      <c r="B46" s="14" t="n">
        <v>222253</v>
      </c>
      <c r="C46" t="n">
        <v>0</v>
      </c>
      <c r="D46" s="4">
        <f>'OP Triangle'!B46</f>
        <v/>
      </c>
      <c r="E46" s="4">
        <f>0+(D46-0)/Assumptions!$B$7</f>
        <v/>
      </c>
      <c r="F46" s="13">
        <f>INDEX('OP Factors'!$E:$E,C46+2)</f>
        <v/>
      </c>
      <c r="G46" s="4">
        <f>E46/F46</f>
        <v/>
      </c>
      <c r="H46" s="15" t="n">
        <v>197.840171</v>
      </c>
      <c r="I46" s="4">
        <f>H46*B46</f>
        <v/>
      </c>
      <c r="J46" s="4">
        <f>E46+(1-F46)*I46</f>
        <v/>
      </c>
      <c r="K46" s="4">
        <f>IF(C46&gt;=Assumptions!$B$3,G46,J46)</f>
        <v/>
      </c>
      <c r="L46" s="4">
        <f>K46-D46</f>
        <v/>
      </c>
      <c r="M46">
        <f>IF(C46&gt;=Assumptions!$B$3,"Completion factor","PMPM / B-F")</f>
        <v/>
      </c>
    </row>
    <row r="47">
      <c r="A47" s="6" t="inlineStr">
        <is>
          <t>Total</t>
        </is>
      </c>
      <c r="B47" s="7">
        <f>SUM(B2:B46)</f>
        <v/>
      </c>
      <c r="D47" s="7">
        <f>SUM(D2:D46)</f>
        <v/>
      </c>
      <c r="G47" s="7">
        <f>SUM(G2:G46)</f>
        <v/>
      </c>
      <c r="I47" s="7">
        <f>SUM(I2:I46)</f>
        <v/>
      </c>
      <c r="K47" s="7">
        <f>SUM(K2:K46)</f>
        <v/>
      </c>
      <c r="L47" s="7">
        <f>SUM(L2:L46)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>
      <c r="A1" s="3" t="inlineStr">
        <is>
          <t>Incurred</t>
        </is>
      </c>
      <c r="B1" s="3" t="inlineStr">
        <is>
          <t>Lag 0</t>
        </is>
      </c>
      <c r="C1" s="3" t="inlineStr">
        <is>
          <t>Lag 1</t>
        </is>
      </c>
      <c r="D1" s="3" t="inlineStr">
        <is>
          <t>Lag 2</t>
        </is>
      </c>
      <c r="E1" s="3" t="inlineStr">
        <is>
          <t>Lag 3</t>
        </is>
      </c>
      <c r="F1" s="3" t="inlineStr">
        <is>
          <t>Lag 4</t>
        </is>
      </c>
      <c r="G1" s="3" t="inlineStr">
        <is>
          <t>Lag 5</t>
        </is>
      </c>
      <c r="H1" s="3" t="inlineStr">
        <is>
          <t>Lag 6</t>
        </is>
      </c>
      <c r="I1" s="3" t="inlineStr">
        <is>
          <t>Lag 7</t>
        </is>
      </c>
      <c r="J1" s="3" t="inlineStr">
        <is>
          <t>Lag 8</t>
        </is>
      </c>
      <c r="K1" s="3" t="inlineStr">
        <is>
          <t>Lag 9</t>
        </is>
      </c>
      <c r="L1" s="3" t="inlineStr">
        <is>
          <t>Lag 10</t>
        </is>
      </c>
      <c r="M1" s="3" t="inlineStr">
        <is>
          <t>Lag 11</t>
        </is>
      </c>
      <c r="N1" s="3" t="inlineStr">
        <is>
          <t>Lag 12</t>
        </is>
      </c>
      <c r="O1" s="3" t="inlineStr">
        <is>
          <t>Lag 13</t>
        </is>
      </c>
      <c r="P1" s="3" t="inlineStr">
        <is>
          <t>Lag 14</t>
        </is>
      </c>
      <c r="Q1" s="3" t="inlineStr">
        <is>
          <t>Lag 15</t>
        </is>
      </c>
      <c r="R1" s="3" t="inlineStr">
        <is>
          <t>Lag 16</t>
        </is>
      </c>
      <c r="S1" s="3" t="inlineStr">
        <is>
          <t>Lag 17</t>
        </is>
      </c>
      <c r="T1" s="3" t="inlineStr">
        <is>
          <t>Lag 18</t>
        </is>
      </c>
      <c r="U1" s="3" t="inlineStr">
        <is>
          <t>Lag 19</t>
        </is>
      </c>
      <c r="V1" s="3" t="inlineStr">
        <is>
          <t>Lag 20</t>
        </is>
      </c>
      <c r="W1" s="3" t="inlineStr">
        <is>
          <t>Lag 21</t>
        </is>
      </c>
      <c r="X1" s="3" t="inlineStr">
        <is>
          <t>Lag 22</t>
        </is>
      </c>
      <c r="Y1" s="3" t="inlineStr">
        <is>
          <t>Lag 23</t>
        </is>
      </c>
      <c r="Z1" s="3" t="inlineStr">
        <is>
          <t>Lag 24</t>
        </is>
      </c>
      <c r="AA1" s="3" t="inlineStr">
        <is>
          <t>Lag 25</t>
        </is>
      </c>
      <c r="AB1" s="3" t="inlineStr">
        <is>
          <t>Lag 26</t>
        </is>
      </c>
      <c r="AC1" s="3" t="inlineStr">
        <is>
          <t>Lag 27</t>
        </is>
      </c>
      <c r="AD1" s="3" t="inlineStr">
        <is>
          <t>Lag 28</t>
        </is>
      </c>
      <c r="AE1" s="3" t="inlineStr">
        <is>
          <t>Lag 29</t>
        </is>
      </c>
      <c r="AF1" s="3" t="inlineStr">
        <is>
          <t>Lag 30</t>
        </is>
      </c>
      <c r="AG1" s="3" t="inlineStr">
        <is>
          <t>Lag 31</t>
        </is>
      </c>
      <c r="AH1" s="3" t="inlineStr">
        <is>
          <t>Lag 32</t>
        </is>
      </c>
      <c r="AI1" s="3" t="inlineStr">
        <is>
          <t>Lag 33</t>
        </is>
      </c>
      <c r="AJ1" s="3" t="inlineStr">
        <is>
          <t>Lag 34</t>
        </is>
      </c>
      <c r="AK1" s="3" t="inlineStr">
        <is>
          <t>Lag 35</t>
        </is>
      </c>
      <c r="AL1" s="3" t="inlineStr">
        <is>
          <t>Lag 36</t>
        </is>
      </c>
      <c r="AM1" s="3" t="inlineStr">
        <is>
          <t>Lag 37</t>
        </is>
      </c>
      <c r="AN1" s="3" t="inlineStr">
        <is>
          <t>Lag 38</t>
        </is>
      </c>
      <c r="AO1" s="3" t="inlineStr">
        <is>
          <t>Lag 39</t>
        </is>
      </c>
      <c r="AP1" s="3" t="inlineStr">
        <is>
          <t>Lag 40</t>
        </is>
      </c>
      <c r="AQ1" s="3" t="inlineStr">
        <is>
          <t>Lag 41</t>
        </is>
      </c>
      <c r="AR1" s="3" t="inlineStr">
        <is>
          <t>Lag 42</t>
        </is>
      </c>
      <c r="AS1" s="3" t="inlineStr">
        <is>
          <t>Lag 43</t>
        </is>
      </c>
      <c r="AT1" s="3" t="inlineStr">
        <is>
          <t>Lag 44</t>
        </is>
      </c>
    </row>
    <row r="2">
      <c r="A2" s="6" t="inlineStr">
        <is>
          <t>2023-01</t>
        </is>
      </c>
      <c r="B2" s="5" t="n">
        <v>7856135.17</v>
      </c>
      <c r="C2" s="5" t="n">
        <v>21032556.13</v>
      </c>
      <c r="D2" s="5" t="n">
        <v>26598259.87</v>
      </c>
      <c r="E2" s="5" t="n">
        <v>28677784.21</v>
      </c>
      <c r="F2" s="5" t="n">
        <v>29383995.55</v>
      </c>
      <c r="G2" s="5" t="n">
        <v>29605696.07</v>
      </c>
      <c r="H2" s="5" t="n">
        <v>29679850.68</v>
      </c>
      <c r="I2" s="5" t="n">
        <v>29705680.92</v>
      </c>
      <c r="J2" s="5" t="n">
        <v>29713571.44</v>
      </c>
      <c r="K2" s="5" t="n">
        <v>29715951.66</v>
      </c>
      <c r="L2" s="5" t="n">
        <v>29716673.06</v>
      </c>
      <c r="M2" s="5" t="n">
        <v>29716899.33</v>
      </c>
      <c r="N2" s="5" t="n">
        <v>29716969.95</v>
      </c>
      <c r="O2" s="5" t="n">
        <v>29716991.61</v>
      </c>
      <c r="P2" s="5" t="n">
        <v>29716997.81</v>
      </c>
      <c r="Q2" s="5" t="n">
        <v>29716999.83</v>
      </c>
      <c r="R2" s="5" t="n">
        <v>29717000.44</v>
      </c>
      <c r="S2" s="5" t="n">
        <v>29717000.63</v>
      </c>
      <c r="T2" s="5" t="n">
        <v>29717000.68</v>
      </c>
      <c r="U2" s="5" t="n">
        <v>29717000.7</v>
      </c>
      <c r="V2" s="5" t="n">
        <v>29717000.7</v>
      </c>
      <c r="W2" s="5" t="n">
        <v>29717000.7</v>
      </c>
      <c r="X2" s="5" t="n">
        <v>29717000.7</v>
      </c>
      <c r="Y2" s="5" t="n">
        <v>29717000.7</v>
      </c>
      <c r="Z2" s="5" t="n">
        <v>29717000.7</v>
      </c>
      <c r="AA2" s="5" t="n">
        <v>29717000.7</v>
      </c>
      <c r="AB2" s="5" t="n">
        <v>29717000.7</v>
      </c>
      <c r="AC2" s="5" t="n">
        <v>29717000.7</v>
      </c>
      <c r="AD2" s="5" t="n">
        <v>29717000.7</v>
      </c>
      <c r="AE2" s="5" t="n">
        <v>29717000.7</v>
      </c>
      <c r="AF2" s="5" t="n">
        <v>29717000.7</v>
      </c>
      <c r="AG2" s="5" t="n">
        <v>29717000.7</v>
      </c>
      <c r="AH2" s="5" t="n">
        <v>29717000.7</v>
      </c>
      <c r="AI2" s="5" t="n">
        <v>29717000.7</v>
      </c>
      <c r="AJ2" s="5" t="n">
        <v>29717000.7</v>
      </c>
      <c r="AK2" s="5" t="n">
        <v>29717000.7</v>
      </c>
      <c r="AL2" s="5" t="n">
        <v>29717000.7</v>
      </c>
      <c r="AM2" s="5" t="n">
        <v>29717000.7</v>
      </c>
      <c r="AN2" s="5" t="n">
        <v>29717000.7</v>
      </c>
      <c r="AO2" s="5" t="n">
        <v>29717000.7</v>
      </c>
      <c r="AP2" s="5" t="n">
        <v>29717000.7</v>
      </c>
      <c r="AQ2" s="5" t="n">
        <v>29717000.7</v>
      </c>
      <c r="AR2" s="5" t="n">
        <v>29717000.7</v>
      </c>
      <c r="AS2" s="5" t="n">
        <v>29717000.7</v>
      </c>
      <c r="AT2" s="5" t="n">
        <v>29717000.7</v>
      </c>
    </row>
    <row r="3">
      <c r="A3" s="6" t="inlineStr">
        <is>
          <t>2023-02</t>
        </is>
      </c>
      <c r="B3" s="5" t="n">
        <v>8272479.3</v>
      </c>
      <c r="C3" s="5" t="n">
        <v>21432365.3</v>
      </c>
      <c r="D3" s="5" t="n">
        <v>26958875.1</v>
      </c>
      <c r="E3" s="5" t="n">
        <v>29161780.47</v>
      </c>
      <c r="F3" s="5" t="n">
        <v>29899748.76</v>
      </c>
      <c r="G3" s="5" t="n">
        <v>30141453.47</v>
      </c>
      <c r="H3" s="5" t="n">
        <v>30223127.08</v>
      </c>
      <c r="I3" s="5" t="n">
        <v>30247541.18</v>
      </c>
      <c r="J3" s="5" t="n">
        <v>30255216.94</v>
      </c>
      <c r="K3" s="5" t="n">
        <v>30257714.26</v>
      </c>
      <c r="L3" s="5" t="n">
        <v>30258497.91</v>
      </c>
      <c r="M3" s="5" t="n">
        <v>30258738.05</v>
      </c>
      <c r="N3" s="5" t="n">
        <v>30258808.5</v>
      </c>
      <c r="O3" s="5" t="n">
        <v>30258830.18</v>
      </c>
      <c r="P3" s="5" t="n">
        <v>30258836.7</v>
      </c>
      <c r="Q3" s="5" t="n">
        <v>30258838.74</v>
      </c>
      <c r="R3" s="5" t="n">
        <v>30258839.35</v>
      </c>
      <c r="S3" s="5" t="n">
        <v>30258839.53</v>
      </c>
      <c r="T3" s="5" t="n">
        <v>30258839.59</v>
      </c>
      <c r="U3" s="5" t="n">
        <v>30258839.61</v>
      </c>
      <c r="V3" s="5" t="n">
        <v>30258839.61</v>
      </c>
      <c r="W3" s="5" t="n">
        <v>30258839.61</v>
      </c>
      <c r="X3" s="5" t="n">
        <v>30258839.61</v>
      </c>
      <c r="Y3" s="5" t="n">
        <v>30258839.61</v>
      </c>
      <c r="Z3" s="5" t="n">
        <v>30258839.61</v>
      </c>
      <c r="AA3" s="5" t="n">
        <v>30258839.61</v>
      </c>
      <c r="AB3" s="5" t="n">
        <v>30258839.61</v>
      </c>
      <c r="AC3" s="5" t="n">
        <v>30258839.61</v>
      </c>
      <c r="AD3" s="5" t="n">
        <v>30258839.61</v>
      </c>
      <c r="AE3" s="5" t="n">
        <v>30258839.61</v>
      </c>
      <c r="AF3" s="5" t="n">
        <v>30258839.61</v>
      </c>
      <c r="AG3" s="5" t="n">
        <v>30258839.61</v>
      </c>
      <c r="AH3" s="5" t="n">
        <v>30258839.61</v>
      </c>
      <c r="AI3" s="5" t="n">
        <v>30258839.61</v>
      </c>
      <c r="AJ3" s="5" t="n">
        <v>30258839.61</v>
      </c>
      <c r="AK3" s="5" t="n">
        <v>30258839.61</v>
      </c>
      <c r="AL3" s="5" t="n">
        <v>30258839.61</v>
      </c>
      <c r="AM3" s="5" t="n">
        <v>30258839.61</v>
      </c>
      <c r="AN3" s="5" t="n">
        <v>30258839.61</v>
      </c>
      <c r="AO3" s="5" t="n">
        <v>30258839.61</v>
      </c>
      <c r="AP3" s="5" t="n">
        <v>30258839.61</v>
      </c>
      <c r="AQ3" s="5" t="n">
        <v>30258839.61</v>
      </c>
      <c r="AR3" s="5" t="n">
        <v>30258839.61</v>
      </c>
      <c r="AS3" s="5" t="n">
        <v>30258839.61</v>
      </c>
    </row>
    <row r="4">
      <c r="A4" s="6" t="inlineStr">
        <is>
          <t>2023-03</t>
        </is>
      </c>
      <c r="B4" s="5" t="n">
        <v>8532998.27</v>
      </c>
      <c r="C4" s="5" t="n">
        <v>22592770.34</v>
      </c>
      <c r="D4" s="5" t="n">
        <v>28944604.07</v>
      </c>
      <c r="E4" s="5" t="n">
        <v>31177346.37</v>
      </c>
      <c r="F4" s="5" t="n">
        <v>31985484.41</v>
      </c>
      <c r="G4" s="5" t="n">
        <v>32232583.03</v>
      </c>
      <c r="H4" s="5" t="n">
        <v>32314520.25</v>
      </c>
      <c r="I4" s="5" t="n">
        <v>32340540.11</v>
      </c>
      <c r="J4" s="5" t="n">
        <v>32348580.91</v>
      </c>
      <c r="K4" s="5" t="n">
        <v>32351207.7</v>
      </c>
      <c r="L4" s="5" t="n">
        <v>32351967.77</v>
      </c>
      <c r="M4" s="5" t="n">
        <v>32352210.85</v>
      </c>
      <c r="N4" s="5" t="n">
        <v>32352283.3</v>
      </c>
      <c r="O4" s="5" t="n">
        <v>32352304.23</v>
      </c>
      <c r="P4" s="5" t="n">
        <v>32352310.47</v>
      </c>
      <c r="Q4" s="5" t="n">
        <v>32352312.53</v>
      </c>
      <c r="R4" s="5" t="n">
        <v>32352313.08</v>
      </c>
      <c r="S4" s="5" t="n">
        <v>32352313.27</v>
      </c>
      <c r="T4" s="5" t="n">
        <v>32352313.33</v>
      </c>
      <c r="U4" s="5" t="n">
        <v>32352313.35</v>
      </c>
      <c r="V4" s="5" t="n">
        <v>32352313.35</v>
      </c>
      <c r="W4" s="5" t="n">
        <v>32352313.35</v>
      </c>
      <c r="X4" s="5" t="n">
        <v>32352313.35</v>
      </c>
      <c r="Y4" s="5" t="n">
        <v>32352313.35</v>
      </c>
      <c r="Z4" s="5" t="n">
        <v>32352313.35</v>
      </c>
      <c r="AA4" s="5" t="n">
        <v>32352313.35</v>
      </c>
      <c r="AB4" s="5" t="n">
        <v>32352313.35</v>
      </c>
      <c r="AC4" s="5" t="n">
        <v>32352313.35</v>
      </c>
      <c r="AD4" s="5" t="n">
        <v>32352313.35</v>
      </c>
      <c r="AE4" s="5" t="n">
        <v>32352313.35</v>
      </c>
      <c r="AF4" s="5" t="n">
        <v>32352313.35</v>
      </c>
      <c r="AG4" s="5" t="n">
        <v>32352313.35</v>
      </c>
      <c r="AH4" s="5" t="n">
        <v>32352313.35</v>
      </c>
      <c r="AI4" s="5" t="n">
        <v>32352313.35</v>
      </c>
      <c r="AJ4" s="5" t="n">
        <v>32352313.35</v>
      </c>
      <c r="AK4" s="5" t="n">
        <v>32352313.35</v>
      </c>
      <c r="AL4" s="5" t="n">
        <v>32352313.35</v>
      </c>
      <c r="AM4" s="5" t="n">
        <v>32352313.35</v>
      </c>
      <c r="AN4" s="5" t="n">
        <v>32352313.35</v>
      </c>
      <c r="AO4" s="5" t="n">
        <v>32352313.35</v>
      </c>
      <c r="AP4" s="5" t="n">
        <v>32352313.35</v>
      </c>
      <c r="AQ4" s="5" t="n">
        <v>32352313.35</v>
      </c>
      <c r="AR4" s="5" t="n">
        <v>32352313.35</v>
      </c>
    </row>
    <row r="5">
      <c r="A5" s="6" t="inlineStr">
        <is>
          <t>2023-04</t>
        </is>
      </c>
      <c r="B5" s="5" t="n">
        <v>8794888.18</v>
      </c>
      <c r="C5" s="5" t="n">
        <v>22912091.32</v>
      </c>
      <c r="D5" s="5" t="n">
        <v>29013650.85</v>
      </c>
      <c r="E5" s="5" t="n">
        <v>31301396.61</v>
      </c>
      <c r="F5" s="5" t="n">
        <v>32075179.27</v>
      </c>
      <c r="G5" s="5" t="n">
        <v>32312297.02</v>
      </c>
      <c r="H5" s="5" t="n">
        <v>32390139.37</v>
      </c>
      <c r="I5" s="5" t="n">
        <v>32415055.17</v>
      </c>
      <c r="J5" s="5" t="n">
        <v>32422811.86</v>
      </c>
      <c r="K5" s="5" t="n">
        <v>32425159.31</v>
      </c>
      <c r="L5" s="5" t="n">
        <v>32425908.7</v>
      </c>
      <c r="M5" s="5" t="n">
        <v>32426139.42</v>
      </c>
      <c r="N5" s="5" t="n">
        <v>32426208.05</v>
      </c>
      <c r="O5" s="5" t="n">
        <v>32426227.65</v>
      </c>
      <c r="P5" s="5" t="n">
        <v>32426234.26</v>
      </c>
      <c r="Q5" s="5" t="n">
        <v>32426236.16</v>
      </c>
      <c r="R5" s="5" t="n">
        <v>32426236.71</v>
      </c>
      <c r="S5" s="5" t="n">
        <v>32426236.88</v>
      </c>
      <c r="T5" s="5" t="n">
        <v>32426236.93</v>
      </c>
      <c r="U5" s="5" t="n">
        <v>32426236.94</v>
      </c>
      <c r="V5" s="5" t="n">
        <v>32426236.94</v>
      </c>
      <c r="W5" s="5" t="n">
        <v>32426236.94</v>
      </c>
      <c r="X5" s="5" t="n">
        <v>32426236.94</v>
      </c>
      <c r="Y5" s="5" t="n">
        <v>32426236.94</v>
      </c>
      <c r="Z5" s="5" t="n">
        <v>32426236.94</v>
      </c>
      <c r="AA5" s="5" t="n">
        <v>32426236.94</v>
      </c>
      <c r="AB5" s="5" t="n">
        <v>32426236.94</v>
      </c>
      <c r="AC5" s="5" t="n">
        <v>32426236.94</v>
      </c>
      <c r="AD5" s="5" t="n">
        <v>32426236.94</v>
      </c>
      <c r="AE5" s="5" t="n">
        <v>32426236.94</v>
      </c>
      <c r="AF5" s="5" t="n">
        <v>32426236.94</v>
      </c>
      <c r="AG5" s="5" t="n">
        <v>32426236.94</v>
      </c>
      <c r="AH5" s="5" t="n">
        <v>32426236.94</v>
      </c>
      <c r="AI5" s="5" t="n">
        <v>32426236.94</v>
      </c>
      <c r="AJ5" s="5" t="n">
        <v>32426236.94</v>
      </c>
      <c r="AK5" s="5" t="n">
        <v>32426236.94</v>
      </c>
      <c r="AL5" s="5" t="n">
        <v>32426236.94</v>
      </c>
      <c r="AM5" s="5" t="n">
        <v>32426236.94</v>
      </c>
      <c r="AN5" s="5" t="n">
        <v>32426236.94</v>
      </c>
      <c r="AO5" s="5" t="n">
        <v>32426236.94</v>
      </c>
      <c r="AP5" s="5" t="n">
        <v>32426236.94</v>
      </c>
      <c r="AQ5" s="5" t="n">
        <v>32426236.94</v>
      </c>
    </row>
    <row r="6">
      <c r="A6" s="6" t="inlineStr">
        <is>
          <t>2023-05</t>
        </is>
      </c>
      <c r="B6" s="5" t="n">
        <v>9557486.289999999</v>
      </c>
      <c r="C6" s="5" t="n">
        <v>22968891.48</v>
      </c>
      <c r="D6" s="5" t="n">
        <v>28896945.14</v>
      </c>
      <c r="E6" s="5" t="n">
        <v>31176958.54</v>
      </c>
      <c r="F6" s="5" t="n">
        <v>31955803.72</v>
      </c>
      <c r="G6" s="5" t="n">
        <v>32214669.58</v>
      </c>
      <c r="H6" s="5" t="n">
        <v>32295566.34</v>
      </c>
      <c r="I6" s="5" t="n">
        <v>32321743.58</v>
      </c>
      <c r="J6" s="5" t="n">
        <v>32329539.78</v>
      </c>
      <c r="K6" s="5" t="n">
        <v>32332071.89</v>
      </c>
      <c r="L6" s="5" t="n">
        <v>32332837.52</v>
      </c>
      <c r="M6" s="5" t="n">
        <v>32333072.07</v>
      </c>
      <c r="N6" s="5" t="n">
        <v>32333139.34</v>
      </c>
      <c r="O6" s="5" t="n">
        <v>32333159.95</v>
      </c>
      <c r="P6" s="5" t="n">
        <v>32333166.31</v>
      </c>
      <c r="Q6" s="5" t="n">
        <v>32333168.14</v>
      </c>
      <c r="R6" s="5" t="n">
        <v>32333168.67</v>
      </c>
      <c r="S6" s="5" t="n">
        <v>32333168.83</v>
      </c>
      <c r="T6" s="5" t="n">
        <v>32333168.88</v>
      </c>
      <c r="U6" s="5" t="n">
        <v>32333168.89</v>
      </c>
      <c r="V6" s="5" t="n">
        <v>32333168.89</v>
      </c>
      <c r="W6" s="5" t="n">
        <v>32333168.89</v>
      </c>
      <c r="X6" s="5" t="n">
        <v>32333168.89</v>
      </c>
      <c r="Y6" s="5" t="n">
        <v>32333168.89</v>
      </c>
      <c r="Z6" s="5" t="n">
        <v>32333168.89</v>
      </c>
      <c r="AA6" s="5" t="n">
        <v>32333168.89</v>
      </c>
      <c r="AB6" s="5" t="n">
        <v>32333168.89</v>
      </c>
      <c r="AC6" s="5" t="n">
        <v>32333168.89</v>
      </c>
      <c r="AD6" s="5" t="n">
        <v>32333168.89</v>
      </c>
      <c r="AE6" s="5" t="n">
        <v>32333168.89</v>
      </c>
      <c r="AF6" s="5" t="n">
        <v>32333168.89</v>
      </c>
      <c r="AG6" s="5" t="n">
        <v>32333168.89</v>
      </c>
      <c r="AH6" s="5" t="n">
        <v>32333168.89</v>
      </c>
      <c r="AI6" s="5" t="n">
        <v>32333168.89</v>
      </c>
      <c r="AJ6" s="5" t="n">
        <v>32333168.89</v>
      </c>
      <c r="AK6" s="5" t="n">
        <v>32333168.89</v>
      </c>
      <c r="AL6" s="5" t="n">
        <v>32333168.89</v>
      </c>
      <c r="AM6" s="5" t="n">
        <v>32333168.89</v>
      </c>
      <c r="AN6" s="5" t="n">
        <v>32333168.89</v>
      </c>
      <c r="AO6" s="5" t="n">
        <v>32333168.89</v>
      </c>
      <c r="AP6" s="5" t="n">
        <v>32333168.89</v>
      </c>
    </row>
    <row r="7">
      <c r="A7" s="6" t="inlineStr">
        <is>
          <t>2023-06</t>
        </is>
      </c>
      <c r="B7" s="5" t="n">
        <v>8768941.16</v>
      </c>
      <c r="C7" s="5" t="n">
        <v>22672049.42</v>
      </c>
      <c r="D7" s="5" t="n">
        <v>28490369.86</v>
      </c>
      <c r="E7" s="5" t="n">
        <v>30692025.58</v>
      </c>
      <c r="F7" s="5" t="n">
        <v>31432272.13</v>
      </c>
      <c r="G7" s="5" t="n">
        <v>31678976.29</v>
      </c>
      <c r="H7" s="5" t="n">
        <v>31758245.03</v>
      </c>
      <c r="I7" s="5" t="n">
        <v>31783843.28</v>
      </c>
      <c r="J7" s="5" t="n">
        <v>31791689.07</v>
      </c>
      <c r="K7" s="5" t="n">
        <v>31793945.63</v>
      </c>
      <c r="L7" s="5" t="n">
        <v>31794689.74</v>
      </c>
      <c r="M7" s="5" t="n">
        <v>31794906.06</v>
      </c>
      <c r="N7" s="5" t="n">
        <v>31794971.94</v>
      </c>
      <c r="O7" s="5" t="n">
        <v>31794991.12</v>
      </c>
      <c r="P7" s="5" t="n">
        <v>31794996.93</v>
      </c>
      <c r="Q7" s="5" t="n">
        <v>31794998.63</v>
      </c>
      <c r="R7" s="5" t="n">
        <v>31794999.15</v>
      </c>
      <c r="S7" s="5" t="n">
        <v>31794999.3</v>
      </c>
      <c r="T7" s="5" t="n">
        <v>31794999.34</v>
      </c>
      <c r="U7" s="5" t="n">
        <v>31794999.35</v>
      </c>
      <c r="V7" s="5" t="n">
        <v>31794999.35</v>
      </c>
      <c r="W7" s="5" t="n">
        <v>31794999.35</v>
      </c>
      <c r="X7" s="5" t="n">
        <v>31794999.35</v>
      </c>
      <c r="Y7" s="5" t="n">
        <v>31794999.35</v>
      </c>
      <c r="Z7" s="5" t="n">
        <v>31794999.35</v>
      </c>
      <c r="AA7" s="5" t="n">
        <v>31794999.35</v>
      </c>
      <c r="AB7" s="5" t="n">
        <v>31794999.35</v>
      </c>
      <c r="AC7" s="5" t="n">
        <v>31794999.35</v>
      </c>
      <c r="AD7" s="5" t="n">
        <v>31794999.35</v>
      </c>
      <c r="AE7" s="5" t="n">
        <v>31794999.35</v>
      </c>
      <c r="AF7" s="5" t="n">
        <v>31794999.35</v>
      </c>
      <c r="AG7" s="5" t="n">
        <v>31794999.35</v>
      </c>
      <c r="AH7" s="5" t="n">
        <v>31794999.35</v>
      </c>
      <c r="AI7" s="5" t="n">
        <v>31794999.35</v>
      </c>
      <c r="AJ7" s="5" t="n">
        <v>31794999.35</v>
      </c>
      <c r="AK7" s="5" t="n">
        <v>31794999.35</v>
      </c>
      <c r="AL7" s="5" t="n">
        <v>31794999.35</v>
      </c>
      <c r="AM7" s="5" t="n">
        <v>31794999.35</v>
      </c>
      <c r="AN7" s="5" t="n">
        <v>31794999.35</v>
      </c>
      <c r="AO7" s="5" t="n">
        <v>31794999.35</v>
      </c>
    </row>
    <row r="8">
      <c r="A8" s="6" t="inlineStr">
        <is>
          <t>2023-07</t>
        </is>
      </c>
      <c r="B8" s="5" t="n">
        <v>8673349.859999999</v>
      </c>
      <c r="C8" s="5" t="n">
        <v>21954163</v>
      </c>
      <c r="D8" s="5" t="n">
        <v>27990034.82</v>
      </c>
      <c r="E8" s="5" t="n">
        <v>30132521.97</v>
      </c>
      <c r="F8" s="5" t="n">
        <v>30852061.55</v>
      </c>
      <c r="G8" s="5" t="n">
        <v>31091604.82</v>
      </c>
      <c r="H8" s="5" t="n">
        <v>31168706.34</v>
      </c>
      <c r="I8" s="5" t="n">
        <v>31193160.07</v>
      </c>
      <c r="J8" s="5" t="n">
        <v>31200693.37</v>
      </c>
      <c r="K8" s="5" t="n">
        <v>31202966.54</v>
      </c>
      <c r="L8" s="5" t="n">
        <v>31203669.84</v>
      </c>
      <c r="M8" s="5" t="n">
        <v>31203882.91</v>
      </c>
      <c r="N8" s="5" t="n">
        <v>31203942.3</v>
      </c>
      <c r="O8" s="5" t="n">
        <v>31203960.83</v>
      </c>
      <c r="P8" s="5" t="n">
        <v>31203966.26</v>
      </c>
      <c r="Q8" s="5" t="n">
        <v>31203968.01</v>
      </c>
      <c r="R8" s="5" t="n">
        <v>31203968.47</v>
      </c>
      <c r="S8" s="5" t="n">
        <v>31203968.61</v>
      </c>
      <c r="T8" s="5" t="n">
        <v>31203968.65</v>
      </c>
      <c r="U8" s="5" t="n">
        <v>31203968.66</v>
      </c>
      <c r="V8" s="5" t="n">
        <v>31203968.66</v>
      </c>
      <c r="W8" s="5" t="n">
        <v>31203968.66</v>
      </c>
      <c r="X8" s="5" t="n">
        <v>31203968.66</v>
      </c>
      <c r="Y8" s="5" t="n">
        <v>31203968.66</v>
      </c>
      <c r="Z8" s="5" t="n">
        <v>31203968.66</v>
      </c>
      <c r="AA8" s="5" t="n">
        <v>31203968.66</v>
      </c>
      <c r="AB8" s="5" t="n">
        <v>31203968.66</v>
      </c>
      <c r="AC8" s="5" t="n">
        <v>31203968.66</v>
      </c>
      <c r="AD8" s="5" t="n">
        <v>31203968.66</v>
      </c>
      <c r="AE8" s="5" t="n">
        <v>31203968.66</v>
      </c>
      <c r="AF8" s="5" t="n">
        <v>31203968.66</v>
      </c>
      <c r="AG8" s="5" t="n">
        <v>31203968.66</v>
      </c>
      <c r="AH8" s="5" t="n">
        <v>31203968.66</v>
      </c>
      <c r="AI8" s="5" t="n">
        <v>31203968.66</v>
      </c>
      <c r="AJ8" s="5" t="n">
        <v>31203968.66</v>
      </c>
      <c r="AK8" s="5" t="n">
        <v>31203968.66</v>
      </c>
      <c r="AL8" s="5" t="n">
        <v>31203968.66</v>
      </c>
      <c r="AM8" s="5" t="n">
        <v>31203968.66</v>
      </c>
      <c r="AN8" s="5" t="n">
        <v>31203968.66</v>
      </c>
    </row>
    <row r="9">
      <c r="A9" s="6" t="inlineStr">
        <is>
          <t>2023-08</t>
        </is>
      </c>
      <c r="B9" s="5" t="n">
        <v>9726800.02</v>
      </c>
      <c r="C9" s="5" t="n">
        <v>23627624.17</v>
      </c>
      <c r="D9" s="5" t="n">
        <v>29947954.41</v>
      </c>
      <c r="E9" s="5" t="n">
        <v>32139271.24</v>
      </c>
      <c r="F9" s="5" t="n">
        <v>32876551.4</v>
      </c>
      <c r="G9" s="5" t="n">
        <v>33120397.85</v>
      </c>
      <c r="H9" s="5" t="n">
        <v>33195820.52</v>
      </c>
      <c r="I9" s="5" t="n">
        <v>33218569.62</v>
      </c>
      <c r="J9" s="5" t="n">
        <v>33225706.48</v>
      </c>
      <c r="K9" s="5" t="n">
        <v>33228008.29</v>
      </c>
      <c r="L9" s="5" t="n">
        <v>33228692.69</v>
      </c>
      <c r="M9" s="5" t="n">
        <v>33228887.45</v>
      </c>
      <c r="N9" s="5" t="n">
        <v>33228949.24</v>
      </c>
      <c r="O9" s="5" t="n">
        <v>33228967.51</v>
      </c>
      <c r="P9" s="5" t="n">
        <v>33228972.67</v>
      </c>
      <c r="Q9" s="5" t="n">
        <v>33228974.23</v>
      </c>
      <c r="R9" s="5" t="n">
        <v>33228974.69</v>
      </c>
      <c r="S9" s="5" t="n">
        <v>33228974.83</v>
      </c>
      <c r="T9" s="5" t="n">
        <v>33228974.87</v>
      </c>
      <c r="U9" s="5" t="n">
        <v>33228974.88</v>
      </c>
      <c r="V9" s="5" t="n">
        <v>33228974.88</v>
      </c>
      <c r="W9" s="5" t="n">
        <v>33228974.88</v>
      </c>
      <c r="X9" s="5" t="n">
        <v>33228974.88</v>
      </c>
      <c r="Y9" s="5" t="n">
        <v>33228974.88</v>
      </c>
      <c r="Z9" s="5" t="n">
        <v>33228974.88</v>
      </c>
      <c r="AA9" s="5" t="n">
        <v>33228974.88</v>
      </c>
      <c r="AB9" s="5" t="n">
        <v>33228974.88</v>
      </c>
      <c r="AC9" s="5" t="n">
        <v>33228974.88</v>
      </c>
      <c r="AD9" s="5" t="n">
        <v>33228974.88</v>
      </c>
      <c r="AE9" s="5" t="n">
        <v>33228974.88</v>
      </c>
      <c r="AF9" s="5" t="n">
        <v>33228974.88</v>
      </c>
      <c r="AG9" s="5" t="n">
        <v>33228974.88</v>
      </c>
      <c r="AH9" s="5" t="n">
        <v>33228974.88</v>
      </c>
      <c r="AI9" s="5" t="n">
        <v>33228974.88</v>
      </c>
      <c r="AJ9" s="5" t="n">
        <v>33228974.88</v>
      </c>
      <c r="AK9" s="5" t="n">
        <v>33228974.88</v>
      </c>
      <c r="AL9" s="5" t="n">
        <v>33228974.88</v>
      </c>
      <c r="AM9" s="5" t="n">
        <v>33228974.88</v>
      </c>
    </row>
    <row r="10">
      <c r="A10" s="6" t="inlineStr">
        <is>
          <t>2023-09</t>
        </is>
      </c>
      <c r="B10" s="5" t="n">
        <v>9383356.890000001</v>
      </c>
      <c r="C10" s="5" t="n">
        <v>23556983.78</v>
      </c>
      <c r="D10" s="5" t="n">
        <v>29753616.69</v>
      </c>
      <c r="E10" s="5" t="n">
        <v>31998852.45</v>
      </c>
      <c r="F10" s="5" t="n">
        <v>32758002.97</v>
      </c>
      <c r="G10" s="5" t="n">
        <v>33002551.83</v>
      </c>
      <c r="H10" s="5" t="n">
        <v>33083269.78</v>
      </c>
      <c r="I10" s="5" t="n">
        <v>33107364.54</v>
      </c>
      <c r="J10" s="5" t="n">
        <v>33114753.67</v>
      </c>
      <c r="K10" s="5" t="n">
        <v>33117030.1</v>
      </c>
      <c r="L10" s="5" t="n">
        <v>33117687.03</v>
      </c>
      <c r="M10" s="5" t="n">
        <v>33117879.76</v>
      </c>
      <c r="N10" s="5" t="n">
        <v>33117941.49</v>
      </c>
      <c r="O10" s="5" t="n">
        <v>33117958.72</v>
      </c>
      <c r="P10" s="5" t="n">
        <v>33117963.92</v>
      </c>
      <c r="Q10" s="5" t="n">
        <v>33117965.49</v>
      </c>
      <c r="R10" s="5" t="n">
        <v>33117965.94</v>
      </c>
      <c r="S10" s="5" t="n">
        <v>33117966.07</v>
      </c>
      <c r="T10" s="5" t="n">
        <v>33117966.11</v>
      </c>
      <c r="U10" s="5" t="n">
        <v>33117966.12</v>
      </c>
      <c r="V10" s="5" t="n">
        <v>33117966.12</v>
      </c>
      <c r="W10" s="5" t="n">
        <v>33117966.12</v>
      </c>
      <c r="X10" s="5" t="n">
        <v>33117966.12</v>
      </c>
      <c r="Y10" s="5" t="n">
        <v>33117966.12</v>
      </c>
      <c r="Z10" s="5" t="n">
        <v>33117966.12</v>
      </c>
      <c r="AA10" s="5" t="n">
        <v>33117966.12</v>
      </c>
      <c r="AB10" s="5" t="n">
        <v>33117966.12</v>
      </c>
      <c r="AC10" s="5" t="n">
        <v>33117966.12</v>
      </c>
      <c r="AD10" s="5" t="n">
        <v>33117966.12</v>
      </c>
      <c r="AE10" s="5" t="n">
        <v>33117966.12</v>
      </c>
      <c r="AF10" s="5" t="n">
        <v>33117966.12</v>
      </c>
      <c r="AG10" s="5" t="n">
        <v>33117966.12</v>
      </c>
      <c r="AH10" s="5" t="n">
        <v>33117966.12</v>
      </c>
      <c r="AI10" s="5" t="n">
        <v>33117966.12</v>
      </c>
      <c r="AJ10" s="5" t="n">
        <v>33117966.12</v>
      </c>
      <c r="AK10" s="5" t="n">
        <v>33117966.12</v>
      </c>
      <c r="AL10" s="5" t="n">
        <v>33117966.12</v>
      </c>
    </row>
    <row r="11">
      <c r="A11" s="6" t="inlineStr">
        <is>
          <t>2023-10</t>
        </is>
      </c>
      <c r="B11" s="5" t="n">
        <v>9427633.1</v>
      </c>
      <c r="C11" s="5" t="n">
        <v>23906393.73</v>
      </c>
      <c r="D11" s="5" t="n">
        <v>29996186.53</v>
      </c>
      <c r="E11" s="5" t="n">
        <v>32223328.01</v>
      </c>
      <c r="F11" s="5" t="n">
        <v>32995789.79</v>
      </c>
      <c r="G11" s="5" t="n">
        <v>33232878.07</v>
      </c>
      <c r="H11" s="5" t="n">
        <v>33306230.46</v>
      </c>
      <c r="I11" s="5" t="n">
        <v>33329858.07</v>
      </c>
      <c r="J11" s="5" t="n">
        <v>33336908.64</v>
      </c>
      <c r="K11" s="5" t="n">
        <v>33339072.02</v>
      </c>
      <c r="L11" s="5" t="n">
        <v>33339756.71</v>
      </c>
      <c r="M11" s="5" t="n">
        <v>33339949.78</v>
      </c>
      <c r="N11" s="5" t="n">
        <v>33340009.79</v>
      </c>
      <c r="O11" s="5" t="n">
        <v>33340027.91</v>
      </c>
      <c r="P11" s="5" t="n">
        <v>33340033.13</v>
      </c>
      <c r="Q11" s="5" t="n">
        <v>33340034.67</v>
      </c>
      <c r="R11" s="5" t="n">
        <v>33340035.13</v>
      </c>
      <c r="S11" s="5" t="n">
        <v>33340035.26</v>
      </c>
      <c r="T11" s="5" t="n">
        <v>33340035.3</v>
      </c>
      <c r="U11" s="5" t="n">
        <v>33340035.31</v>
      </c>
      <c r="V11" s="5" t="n">
        <v>33340035.31</v>
      </c>
      <c r="W11" s="5" t="n">
        <v>33340035.31</v>
      </c>
      <c r="X11" s="5" t="n">
        <v>33340035.31</v>
      </c>
      <c r="Y11" s="5" t="n">
        <v>33340035.31</v>
      </c>
      <c r="Z11" s="5" t="n">
        <v>33340035.31</v>
      </c>
      <c r="AA11" s="5" t="n">
        <v>33340035.31</v>
      </c>
      <c r="AB11" s="5" t="n">
        <v>33340035.31</v>
      </c>
      <c r="AC11" s="5" t="n">
        <v>33340035.31</v>
      </c>
      <c r="AD11" s="5" t="n">
        <v>33340035.31</v>
      </c>
      <c r="AE11" s="5" t="n">
        <v>33340035.31</v>
      </c>
      <c r="AF11" s="5" t="n">
        <v>33340035.31</v>
      </c>
      <c r="AG11" s="5" t="n">
        <v>33340035.31</v>
      </c>
      <c r="AH11" s="5" t="n">
        <v>33340035.31</v>
      </c>
      <c r="AI11" s="5" t="n">
        <v>33340035.31</v>
      </c>
      <c r="AJ11" s="5" t="n">
        <v>33340035.31</v>
      </c>
      <c r="AK11" s="5" t="n">
        <v>33340035.31</v>
      </c>
    </row>
    <row r="12">
      <c r="A12" s="6" t="inlineStr">
        <is>
          <t>2023-11</t>
        </is>
      </c>
      <c r="B12" s="5" t="n">
        <v>10267028.08</v>
      </c>
      <c r="C12" s="5" t="n">
        <v>25024939.77</v>
      </c>
      <c r="D12" s="5" t="n">
        <v>31409482.7</v>
      </c>
      <c r="E12" s="5" t="n">
        <v>33613101.04</v>
      </c>
      <c r="F12" s="5" t="n">
        <v>34361936.41</v>
      </c>
      <c r="G12" s="5" t="n">
        <v>34601673.01</v>
      </c>
      <c r="H12" s="5" t="n">
        <v>34681747.57</v>
      </c>
      <c r="I12" s="5" t="n">
        <v>34705438.5</v>
      </c>
      <c r="J12" s="5" t="n">
        <v>34712671.72</v>
      </c>
      <c r="K12" s="5" t="n">
        <v>34714763.1</v>
      </c>
      <c r="L12" s="5" t="n">
        <v>34715447.62</v>
      </c>
      <c r="M12" s="5" t="n">
        <v>34715636.56</v>
      </c>
      <c r="N12" s="5" t="n">
        <v>34715691.78</v>
      </c>
      <c r="O12" s="5" t="n">
        <v>34715708.44</v>
      </c>
      <c r="P12" s="5" t="n">
        <v>34715713.38</v>
      </c>
      <c r="Q12" s="5" t="n">
        <v>34715714.9</v>
      </c>
      <c r="R12" s="5" t="n">
        <v>34715715.33</v>
      </c>
      <c r="S12" s="5" t="n">
        <v>34715715.45</v>
      </c>
      <c r="T12" s="5" t="n">
        <v>34715715.49</v>
      </c>
      <c r="U12" s="5" t="n">
        <v>34715715.5</v>
      </c>
      <c r="V12" s="5" t="n">
        <v>34715715.5</v>
      </c>
      <c r="W12" s="5" t="n">
        <v>34715715.5</v>
      </c>
      <c r="X12" s="5" t="n">
        <v>34715715.5</v>
      </c>
      <c r="Y12" s="5" t="n">
        <v>34715715.5</v>
      </c>
      <c r="Z12" s="5" t="n">
        <v>34715715.5</v>
      </c>
      <c r="AA12" s="5" t="n">
        <v>34715715.5</v>
      </c>
      <c r="AB12" s="5" t="n">
        <v>34715715.5</v>
      </c>
      <c r="AC12" s="5" t="n">
        <v>34715715.5</v>
      </c>
      <c r="AD12" s="5" t="n">
        <v>34715715.5</v>
      </c>
      <c r="AE12" s="5" t="n">
        <v>34715715.5</v>
      </c>
      <c r="AF12" s="5" t="n">
        <v>34715715.5</v>
      </c>
      <c r="AG12" s="5" t="n">
        <v>34715715.5</v>
      </c>
      <c r="AH12" s="5" t="n">
        <v>34715715.5</v>
      </c>
      <c r="AI12" s="5" t="n">
        <v>34715715.5</v>
      </c>
      <c r="AJ12" s="5" t="n">
        <v>34715715.5</v>
      </c>
    </row>
    <row r="13">
      <c r="A13" s="6" t="inlineStr">
        <is>
          <t>2023-12</t>
        </is>
      </c>
      <c r="B13" s="5" t="n">
        <v>11142721.24</v>
      </c>
      <c r="C13" s="5" t="n">
        <v>27855192.22</v>
      </c>
      <c r="D13" s="5" t="n">
        <v>34658968.76</v>
      </c>
      <c r="E13" s="5" t="n">
        <v>37058198.4</v>
      </c>
      <c r="F13" s="5" t="n">
        <v>37850022.12</v>
      </c>
      <c r="G13" s="5" t="n">
        <v>38106051.92</v>
      </c>
      <c r="H13" s="5" t="n">
        <v>38186213.87</v>
      </c>
      <c r="I13" s="5" t="n">
        <v>38211119.85</v>
      </c>
      <c r="J13" s="5" t="n">
        <v>38218663.61</v>
      </c>
      <c r="K13" s="5" t="n">
        <v>38220899.36</v>
      </c>
      <c r="L13" s="5" t="n">
        <v>38221566.6</v>
      </c>
      <c r="M13" s="5" t="n">
        <v>38221770.34</v>
      </c>
      <c r="N13" s="5" t="n">
        <v>38221829.2</v>
      </c>
      <c r="O13" s="5" t="n">
        <v>38221846.22</v>
      </c>
      <c r="P13" s="5" t="n">
        <v>38221851.24</v>
      </c>
      <c r="Q13" s="5" t="n">
        <v>38221852.74</v>
      </c>
      <c r="R13" s="5" t="n">
        <v>38221853.16</v>
      </c>
      <c r="S13" s="5" t="n">
        <v>38221853.28</v>
      </c>
      <c r="T13" s="5" t="n">
        <v>38221853.32</v>
      </c>
      <c r="U13" s="5" t="n">
        <v>38221853.33</v>
      </c>
      <c r="V13" s="5" t="n">
        <v>38221853.33</v>
      </c>
      <c r="W13" s="5" t="n">
        <v>38221853.33</v>
      </c>
      <c r="X13" s="5" t="n">
        <v>38221853.33</v>
      </c>
      <c r="Y13" s="5" t="n">
        <v>38221853.33</v>
      </c>
      <c r="Z13" s="5" t="n">
        <v>38221853.33</v>
      </c>
      <c r="AA13" s="5" t="n">
        <v>38221853.33</v>
      </c>
      <c r="AB13" s="5" t="n">
        <v>38221853.33</v>
      </c>
      <c r="AC13" s="5" t="n">
        <v>38221853.33</v>
      </c>
      <c r="AD13" s="5" t="n">
        <v>38221853.33</v>
      </c>
      <c r="AE13" s="5" t="n">
        <v>38221853.33</v>
      </c>
      <c r="AF13" s="5" t="n">
        <v>38221853.33</v>
      </c>
      <c r="AG13" s="5" t="n">
        <v>38221853.33</v>
      </c>
      <c r="AH13" s="5" t="n">
        <v>38221853.33</v>
      </c>
      <c r="AI13" s="5" t="n">
        <v>38221853.33</v>
      </c>
    </row>
    <row r="14">
      <c r="A14" s="6" t="inlineStr">
        <is>
          <t>2024-01</t>
        </is>
      </c>
      <c r="B14" s="5" t="n">
        <v>9919660.51</v>
      </c>
      <c r="C14" s="5" t="n">
        <v>23714892.15</v>
      </c>
      <c r="D14" s="5" t="n">
        <v>29912265.28</v>
      </c>
      <c r="E14" s="5" t="n">
        <v>32000231</v>
      </c>
      <c r="F14" s="5" t="n">
        <v>32731530.09</v>
      </c>
      <c r="G14" s="5" t="n">
        <v>32972196.5</v>
      </c>
      <c r="H14" s="5" t="n">
        <v>33043828.12</v>
      </c>
      <c r="I14" s="5" t="n">
        <v>33066104.59</v>
      </c>
      <c r="J14" s="5" t="n">
        <v>33073232.31</v>
      </c>
      <c r="K14" s="5" t="n">
        <v>33075353</v>
      </c>
      <c r="L14" s="5" t="n">
        <v>33075965.52</v>
      </c>
      <c r="M14" s="5" t="n">
        <v>33076139.88</v>
      </c>
      <c r="N14" s="5" t="n">
        <v>33076190.53</v>
      </c>
      <c r="O14" s="5" t="n">
        <v>33076206.13</v>
      </c>
      <c r="P14" s="5" t="n">
        <v>33076210.7</v>
      </c>
      <c r="Q14" s="5" t="n">
        <v>33076211.97</v>
      </c>
      <c r="R14" s="5" t="n">
        <v>33076212.35</v>
      </c>
      <c r="S14" s="5" t="n">
        <v>33076212.46</v>
      </c>
      <c r="T14" s="5" t="n">
        <v>33076212.49</v>
      </c>
      <c r="U14" s="5" t="n">
        <v>33076212.5</v>
      </c>
      <c r="V14" s="5" t="n">
        <v>33076212.5</v>
      </c>
      <c r="W14" s="5" t="n">
        <v>33076212.5</v>
      </c>
      <c r="X14" s="5" t="n">
        <v>33076212.5</v>
      </c>
      <c r="Y14" s="5" t="n">
        <v>33076212.5</v>
      </c>
      <c r="Z14" s="5" t="n">
        <v>33076212.5</v>
      </c>
      <c r="AA14" s="5" t="n">
        <v>33076212.5</v>
      </c>
      <c r="AB14" s="5" t="n">
        <v>33076212.5</v>
      </c>
      <c r="AC14" s="5" t="n">
        <v>33076212.5</v>
      </c>
      <c r="AD14" s="5" t="n">
        <v>33076212.5</v>
      </c>
      <c r="AE14" s="5" t="n">
        <v>33076212.5</v>
      </c>
      <c r="AF14" s="5" t="n">
        <v>33076212.5</v>
      </c>
      <c r="AG14" s="5" t="n">
        <v>33076212.5</v>
      </c>
      <c r="AH14" s="5" t="n">
        <v>33076212.5</v>
      </c>
    </row>
    <row r="15">
      <c r="A15" s="6" t="inlineStr">
        <is>
          <t>2024-02</t>
        </is>
      </c>
      <c r="B15" s="5" t="n">
        <v>9457105.689999999</v>
      </c>
      <c r="C15" s="5" t="n">
        <v>23539141.02</v>
      </c>
      <c r="D15" s="5" t="n">
        <v>29515751.15</v>
      </c>
      <c r="E15" s="5" t="n">
        <v>31671748.75</v>
      </c>
      <c r="F15" s="5" t="n">
        <v>32371672.38</v>
      </c>
      <c r="G15" s="5" t="n">
        <v>32582427.8</v>
      </c>
      <c r="H15" s="5" t="n">
        <v>32648394.73</v>
      </c>
      <c r="I15" s="5" t="n">
        <v>32670138.12</v>
      </c>
      <c r="J15" s="5" t="n">
        <v>32676604.66</v>
      </c>
      <c r="K15" s="5" t="n">
        <v>32678394.46</v>
      </c>
      <c r="L15" s="5" t="n">
        <v>32678953.78</v>
      </c>
      <c r="M15" s="5" t="n">
        <v>32679112.89</v>
      </c>
      <c r="N15" s="5" t="n">
        <v>32679157.69</v>
      </c>
      <c r="O15" s="5" t="n">
        <v>32679171.75</v>
      </c>
      <c r="P15" s="5" t="n">
        <v>32679175.81</v>
      </c>
      <c r="Q15" s="5" t="n">
        <v>32679177.04</v>
      </c>
      <c r="R15" s="5" t="n">
        <v>32679177.37</v>
      </c>
      <c r="S15" s="5" t="n">
        <v>32679177.47</v>
      </c>
      <c r="T15" s="5" t="n">
        <v>32679177.5</v>
      </c>
      <c r="U15" s="5" t="n">
        <v>32679177.51</v>
      </c>
      <c r="V15" s="5" t="n">
        <v>32679177.51</v>
      </c>
      <c r="W15" s="5" t="n">
        <v>32679177.51</v>
      </c>
      <c r="X15" s="5" t="n">
        <v>32679177.51</v>
      </c>
      <c r="Y15" s="5" t="n">
        <v>32679177.51</v>
      </c>
      <c r="Z15" s="5" t="n">
        <v>32679177.51</v>
      </c>
      <c r="AA15" s="5" t="n">
        <v>32679177.51</v>
      </c>
      <c r="AB15" s="5" t="n">
        <v>32679177.51</v>
      </c>
      <c r="AC15" s="5" t="n">
        <v>32679177.51</v>
      </c>
      <c r="AD15" s="5" t="n">
        <v>32679177.51</v>
      </c>
      <c r="AE15" s="5" t="n">
        <v>32679177.51</v>
      </c>
      <c r="AF15" s="5" t="n">
        <v>32679177.51</v>
      </c>
      <c r="AG15" s="5" t="n">
        <v>32679177.51</v>
      </c>
    </row>
    <row r="16">
      <c r="A16" s="6" t="inlineStr">
        <is>
          <t>2024-03</t>
        </is>
      </c>
      <c r="B16" s="5" t="n">
        <v>10717324.93</v>
      </c>
      <c r="C16" s="5" t="n">
        <v>26542391.07</v>
      </c>
      <c r="D16" s="5" t="n">
        <v>33099217.34</v>
      </c>
      <c r="E16" s="5" t="n">
        <v>35476101.38</v>
      </c>
      <c r="F16" s="5" t="n">
        <v>36292966.69</v>
      </c>
      <c r="G16" s="5" t="n">
        <v>36551901.76</v>
      </c>
      <c r="H16" s="5" t="n">
        <v>36631710.25</v>
      </c>
      <c r="I16" s="5" t="n">
        <v>36655424.66</v>
      </c>
      <c r="J16" s="5" t="n">
        <v>36662913.13</v>
      </c>
      <c r="K16" s="5" t="n">
        <v>36665171.49</v>
      </c>
      <c r="L16" s="5" t="n">
        <v>36665793.41</v>
      </c>
      <c r="M16" s="5" t="n">
        <v>36665977.45</v>
      </c>
      <c r="N16" s="5" t="n">
        <v>36666032.05</v>
      </c>
      <c r="O16" s="5" t="n">
        <v>36666048.55</v>
      </c>
      <c r="P16" s="5" t="n">
        <v>36666053.17</v>
      </c>
      <c r="Q16" s="5" t="n">
        <v>36666054.51</v>
      </c>
      <c r="R16" s="5" t="n">
        <v>36666054.88</v>
      </c>
      <c r="S16" s="5" t="n">
        <v>36666054.99</v>
      </c>
      <c r="T16" s="5" t="n">
        <v>36666055.02</v>
      </c>
      <c r="U16" s="5" t="n">
        <v>36666055.03</v>
      </c>
      <c r="V16" s="5" t="n">
        <v>36666055.03</v>
      </c>
      <c r="W16" s="5" t="n">
        <v>36666055.03</v>
      </c>
      <c r="X16" s="5" t="n">
        <v>36666055.03</v>
      </c>
      <c r="Y16" s="5" t="n">
        <v>36666055.03</v>
      </c>
      <c r="Z16" s="5" t="n">
        <v>36666055.03</v>
      </c>
      <c r="AA16" s="5" t="n">
        <v>36666055.03</v>
      </c>
      <c r="AB16" s="5" t="n">
        <v>36666055.03</v>
      </c>
      <c r="AC16" s="5" t="n">
        <v>36666055.03</v>
      </c>
      <c r="AD16" s="5" t="n">
        <v>36666055.03</v>
      </c>
      <c r="AE16" s="5" t="n">
        <v>36666055.03</v>
      </c>
      <c r="AF16" s="5" t="n">
        <v>36666055.03</v>
      </c>
    </row>
    <row r="17">
      <c r="A17" s="6" t="inlineStr">
        <is>
          <t>2024-04</t>
        </is>
      </c>
      <c r="B17" s="5" t="n">
        <v>10689165.23</v>
      </c>
      <c r="C17" s="5" t="n">
        <v>26656324.96</v>
      </c>
      <c r="D17" s="5" t="n">
        <v>33067881.64</v>
      </c>
      <c r="E17" s="5" t="n">
        <v>35451129.47</v>
      </c>
      <c r="F17" s="5" t="n">
        <v>36243762.78</v>
      </c>
      <c r="G17" s="5" t="n">
        <v>36478548.72</v>
      </c>
      <c r="H17" s="5" t="n">
        <v>36551591.91</v>
      </c>
      <c r="I17" s="5" t="n">
        <v>36572375.9</v>
      </c>
      <c r="J17" s="5" t="n">
        <v>36578810.89</v>
      </c>
      <c r="K17" s="5" t="n">
        <v>36580713.52</v>
      </c>
      <c r="L17" s="5" t="n">
        <v>36581274.9</v>
      </c>
      <c r="M17" s="5" t="n">
        <v>36581441.66</v>
      </c>
      <c r="N17" s="5" t="n">
        <v>36581492.76</v>
      </c>
      <c r="O17" s="5" t="n">
        <v>36581506.6</v>
      </c>
      <c r="P17" s="5" t="n">
        <v>36581510.34</v>
      </c>
      <c r="Q17" s="5" t="n">
        <v>36581511.47</v>
      </c>
      <c r="R17" s="5" t="n">
        <v>36581511.8</v>
      </c>
      <c r="S17" s="5" t="n">
        <v>36581511.9</v>
      </c>
      <c r="T17" s="5" t="n">
        <v>36581511.93</v>
      </c>
      <c r="U17" s="5" t="n">
        <v>36581511.94</v>
      </c>
      <c r="V17" s="5" t="n">
        <v>36581511.94</v>
      </c>
      <c r="W17" s="5" t="n">
        <v>36581511.94</v>
      </c>
      <c r="X17" s="5" t="n">
        <v>36581511.94</v>
      </c>
      <c r="Y17" s="5" t="n">
        <v>36581511.94</v>
      </c>
      <c r="Z17" s="5" t="n">
        <v>36581511.94</v>
      </c>
      <c r="AA17" s="5" t="n">
        <v>36581511.94</v>
      </c>
      <c r="AB17" s="5" t="n">
        <v>36581511.94</v>
      </c>
      <c r="AC17" s="5" t="n">
        <v>36581511.94</v>
      </c>
      <c r="AD17" s="5" t="n">
        <v>36581511.94</v>
      </c>
      <c r="AE17" s="5" t="n">
        <v>36581511.94</v>
      </c>
    </row>
    <row r="18">
      <c r="A18" s="6" t="inlineStr">
        <is>
          <t>2024-05</t>
        </is>
      </c>
      <c r="B18" s="5" t="n">
        <v>10500556.78</v>
      </c>
      <c r="C18" s="5" t="n">
        <v>26718122.11</v>
      </c>
      <c r="D18" s="5" t="n">
        <v>33315874.51</v>
      </c>
      <c r="E18" s="5" t="n">
        <v>35604478.78</v>
      </c>
      <c r="F18" s="5" t="n">
        <v>36342408.23</v>
      </c>
      <c r="G18" s="5" t="n">
        <v>36563097.26</v>
      </c>
      <c r="H18" s="5" t="n">
        <v>36635362.76</v>
      </c>
      <c r="I18" s="5" t="n">
        <v>36657972.81</v>
      </c>
      <c r="J18" s="5" t="n">
        <v>36664513.97</v>
      </c>
      <c r="K18" s="5" t="n">
        <v>36666500.03</v>
      </c>
      <c r="L18" s="5" t="n">
        <v>36667032.66</v>
      </c>
      <c r="M18" s="5" t="n">
        <v>36667196.79</v>
      </c>
      <c r="N18" s="5" t="n">
        <v>36667241.24</v>
      </c>
      <c r="O18" s="5" t="n">
        <v>36667254.5</v>
      </c>
      <c r="P18" s="5" t="n">
        <v>36667258.53</v>
      </c>
      <c r="Q18" s="5" t="n">
        <v>36667259.66</v>
      </c>
      <c r="R18" s="5" t="n">
        <v>36667259.99</v>
      </c>
      <c r="S18" s="5" t="n">
        <v>36667260.08</v>
      </c>
      <c r="T18" s="5" t="n">
        <v>36667260.11</v>
      </c>
      <c r="U18" s="5" t="n">
        <v>36667260.12</v>
      </c>
      <c r="V18" s="5" t="n">
        <v>36667260.12</v>
      </c>
      <c r="W18" s="5" t="n">
        <v>36667260.12</v>
      </c>
      <c r="X18" s="5" t="n">
        <v>36667260.12</v>
      </c>
      <c r="Y18" s="5" t="n">
        <v>36667260.12</v>
      </c>
      <c r="Z18" s="5" t="n">
        <v>36667260.12</v>
      </c>
      <c r="AA18" s="5" t="n">
        <v>36667260.12</v>
      </c>
      <c r="AB18" s="5" t="n">
        <v>36667260.12</v>
      </c>
      <c r="AC18" s="5" t="n">
        <v>36667260.12</v>
      </c>
      <c r="AD18" s="5" t="n">
        <v>36667260.12</v>
      </c>
    </row>
    <row r="19">
      <c r="A19" s="6" t="inlineStr">
        <is>
          <t>2024-06</t>
        </is>
      </c>
      <c r="B19" s="5" t="n">
        <v>10640332.53</v>
      </c>
      <c r="C19" s="5" t="n">
        <v>26196735.24</v>
      </c>
      <c r="D19" s="5" t="n">
        <v>32575697.1</v>
      </c>
      <c r="E19" s="5" t="n">
        <v>34759598.73</v>
      </c>
      <c r="F19" s="5" t="n">
        <v>35466716.36</v>
      </c>
      <c r="G19" s="5" t="n">
        <v>35697120.47</v>
      </c>
      <c r="H19" s="5" t="n">
        <v>35767506.14</v>
      </c>
      <c r="I19" s="5" t="n">
        <v>35788968.89</v>
      </c>
      <c r="J19" s="5" t="n">
        <v>35795332.56</v>
      </c>
      <c r="K19" s="5" t="n">
        <v>35797161.28</v>
      </c>
      <c r="L19" s="5" t="n">
        <v>35797704.98</v>
      </c>
      <c r="M19" s="5" t="n">
        <v>35797862.53</v>
      </c>
      <c r="N19" s="5" t="n">
        <v>35797908.45</v>
      </c>
      <c r="O19" s="5" t="n">
        <v>35797921.82</v>
      </c>
      <c r="P19" s="5" t="n">
        <v>35797925.45</v>
      </c>
      <c r="Q19" s="5" t="n">
        <v>35797926.5</v>
      </c>
      <c r="R19" s="5" t="n">
        <v>35797926.81</v>
      </c>
      <c r="S19" s="5" t="n">
        <v>35797926.89</v>
      </c>
      <c r="T19" s="5" t="n">
        <v>35797926.91</v>
      </c>
      <c r="U19" s="5" t="n">
        <v>35797926.92</v>
      </c>
      <c r="V19" s="5" t="n">
        <v>35797926.92</v>
      </c>
      <c r="W19" s="5" t="n">
        <v>35797926.92</v>
      </c>
      <c r="X19" s="5" t="n">
        <v>35797926.92</v>
      </c>
      <c r="Y19" s="5" t="n">
        <v>35797926.92</v>
      </c>
      <c r="Z19" s="5" t="n">
        <v>35797926.92</v>
      </c>
      <c r="AA19" s="5" t="n">
        <v>35797926.92</v>
      </c>
      <c r="AB19" s="5" t="n">
        <v>35797926.92</v>
      </c>
      <c r="AC19" s="5" t="n">
        <v>35797926.92</v>
      </c>
    </row>
    <row r="20">
      <c r="A20" s="6" t="inlineStr">
        <is>
          <t>2024-07</t>
        </is>
      </c>
      <c r="B20" s="5" t="n">
        <v>10174091.8</v>
      </c>
      <c r="C20" s="5" t="n">
        <v>25839247.4</v>
      </c>
      <c r="D20" s="5" t="n">
        <v>32238947.36</v>
      </c>
      <c r="E20" s="5" t="n">
        <v>34481408.72</v>
      </c>
      <c r="F20" s="5" t="n">
        <v>35205632.14</v>
      </c>
      <c r="G20" s="5" t="n">
        <v>35432332.39</v>
      </c>
      <c r="H20" s="5" t="n">
        <v>35502673.23</v>
      </c>
      <c r="I20" s="5" t="n">
        <v>35522883.95</v>
      </c>
      <c r="J20" s="5" t="n">
        <v>35529163.5</v>
      </c>
      <c r="K20" s="5" t="n">
        <v>35530951.95</v>
      </c>
      <c r="L20" s="5" t="n">
        <v>35531478.18</v>
      </c>
      <c r="M20" s="5" t="n">
        <v>35531626.6</v>
      </c>
      <c r="N20" s="5" t="n">
        <v>35531667.93</v>
      </c>
      <c r="O20" s="5" t="n">
        <v>35531679.84</v>
      </c>
      <c r="P20" s="5" t="n">
        <v>35531683.6</v>
      </c>
      <c r="Q20" s="5" t="n">
        <v>35531684.63</v>
      </c>
      <c r="R20" s="5" t="n">
        <v>35531684.93</v>
      </c>
      <c r="S20" s="5" t="n">
        <v>35531685.01</v>
      </c>
      <c r="T20" s="5" t="n">
        <v>35531685.03</v>
      </c>
      <c r="U20" s="5" t="n">
        <v>35531685.04</v>
      </c>
      <c r="V20" s="5" t="n">
        <v>35531685.04</v>
      </c>
      <c r="W20" s="5" t="n">
        <v>35531685.04</v>
      </c>
      <c r="X20" s="5" t="n">
        <v>35531685.04</v>
      </c>
      <c r="Y20" s="5" t="n">
        <v>35531685.04</v>
      </c>
      <c r="Z20" s="5" t="n">
        <v>35531685.04</v>
      </c>
      <c r="AA20" s="5" t="n">
        <v>35531685.04</v>
      </c>
      <c r="AB20" s="5" t="n">
        <v>35531685.04</v>
      </c>
    </row>
    <row r="21">
      <c r="A21" s="6" t="inlineStr">
        <is>
          <t>2024-08</t>
        </is>
      </c>
      <c r="B21" s="5" t="n">
        <v>11073648.13</v>
      </c>
      <c r="C21" s="5" t="n">
        <v>26952202.93</v>
      </c>
      <c r="D21" s="5" t="n">
        <v>33605404.8</v>
      </c>
      <c r="E21" s="5" t="n">
        <v>35939508.09</v>
      </c>
      <c r="F21" s="5" t="n">
        <v>36739703.15</v>
      </c>
      <c r="G21" s="5" t="n">
        <v>36980060.72</v>
      </c>
      <c r="H21" s="5" t="n">
        <v>37051950.46</v>
      </c>
      <c r="I21" s="5" t="n">
        <v>37074159.75</v>
      </c>
      <c r="J21" s="5" t="n">
        <v>37080338.99</v>
      </c>
      <c r="K21" s="5" t="n">
        <v>37082187.53</v>
      </c>
      <c r="L21" s="5" t="n">
        <v>37082698.22</v>
      </c>
      <c r="M21" s="5" t="n">
        <v>37082857.08</v>
      </c>
      <c r="N21" s="5" t="n">
        <v>37082901.53</v>
      </c>
      <c r="O21" s="5" t="n">
        <v>37082914.43</v>
      </c>
      <c r="P21" s="5" t="n">
        <v>37082917.77</v>
      </c>
      <c r="Q21" s="5" t="n">
        <v>37082918.73</v>
      </c>
      <c r="R21" s="5" t="n">
        <v>37082919</v>
      </c>
      <c r="S21" s="5" t="n">
        <v>37082919.08</v>
      </c>
      <c r="T21" s="5" t="n">
        <v>37082919.1</v>
      </c>
      <c r="U21" s="5" t="n">
        <v>37082919.11</v>
      </c>
      <c r="V21" s="5" t="n">
        <v>37082919.11</v>
      </c>
      <c r="W21" s="5" t="n">
        <v>37082919.11</v>
      </c>
      <c r="X21" s="5" t="n">
        <v>37082919.11</v>
      </c>
      <c r="Y21" s="5" t="n">
        <v>37082919.11</v>
      </c>
      <c r="Z21" s="5" t="n">
        <v>37082919.11</v>
      </c>
      <c r="AA21" s="5" t="n">
        <v>37082919.11</v>
      </c>
    </row>
    <row r="22">
      <c r="A22" s="6" t="inlineStr">
        <is>
          <t>2024-09</t>
        </is>
      </c>
      <c r="B22" s="5" t="n">
        <v>10624714.16</v>
      </c>
      <c r="C22" s="5" t="n">
        <v>25618542.91</v>
      </c>
      <c r="D22" s="5" t="n">
        <v>32078608.61</v>
      </c>
      <c r="E22" s="5" t="n">
        <v>34193448.71</v>
      </c>
      <c r="F22" s="5" t="n">
        <v>34896600.98</v>
      </c>
      <c r="G22" s="5" t="n">
        <v>35114637.19</v>
      </c>
      <c r="H22" s="5" t="n">
        <v>35176540.33</v>
      </c>
      <c r="I22" s="5" t="n">
        <v>35195174.06</v>
      </c>
      <c r="J22" s="5" t="n">
        <v>35201080.26</v>
      </c>
      <c r="K22" s="5" t="n">
        <v>35202796.13</v>
      </c>
      <c r="L22" s="5" t="n">
        <v>35203259.92</v>
      </c>
      <c r="M22" s="5" t="n">
        <v>35203400.08</v>
      </c>
      <c r="N22" s="5" t="n">
        <v>35203439.46</v>
      </c>
      <c r="O22" s="5" t="n">
        <v>35203450.47</v>
      </c>
      <c r="P22" s="5" t="n">
        <v>35203453.58</v>
      </c>
      <c r="Q22" s="5" t="n">
        <v>35203454.4</v>
      </c>
      <c r="R22" s="5" t="n">
        <v>35203454.65</v>
      </c>
      <c r="S22" s="5" t="n">
        <v>35203454.72</v>
      </c>
      <c r="T22" s="5" t="n">
        <v>35203454.74</v>
      </c>
      <c r="U22" s="5" t="n">
        <v>35203454.75</v>
      </c>
      <c r="V22" s="5" t="n">
        <v>35203454.75</v>
      </c>
      <c r="W22" s="5" t="n">
        <v>35203454.75</v>
      </c>
      <c r="X22" s="5" t="n">
        <v>35203454.75</v>
      </c>
      <c r="Y22" s="5" t="n">
        <v>35203454.75</v>
      </c>
      <c r="Z22" s="5" t="n">
        <v>35203454.75</v>
      </c>
    </row>
    <row r="23">
      <c r="A23" s="6" t="inlineStr">
        <is>
          <t>2024-10</t>
        </is>
      </c>
      <c r="B23" s="5" t="n">
        <v>11864266.84</v>
      </c>
      <c r="C23" s="5" t="n">
        <v>28305860.62</v>
      </c>
      <c r="D23" s="5" t="n">
        <v>35478183.04</v>
      </c>
      <c r="E23" s="5" t="n">
        <v>37987208.01</v>
      </c>
      <c r="F23" s="5" t="n">
        <v>38780265.72</v>
      </c>
      <c r="G23" s="5" t="n">
        <v>39021826.93</v>
      </c>
      <c r="H23" s="5" t="n">
        <v>39099313.45</v>
      </c>
      <c r="I23" s="5" t="n">
        <v>39121154.28</v>
      </c>
      <c r="J23" s="5" t="n">
        <v>39127449.51</v>
      </c>
      <c r="K23" s="5" t="n">
        <v>39129238.86</v>
      </c>
      <c r="L23" s="5" t="n">
        <v>39129777.32</v>
      </c>
      <c r="M23" s="5" t="n">
        <v>39129922.79</v>
      </c>
      <c r="N23" s="5" t="n">
        <v>39129964.66</v>
      </c>
      <c r="O23" s="5" t="n">
        <v>39129976.97</v>
      </c>
      <c r="P23" s="5" t="n">
        <v>39129980.41</v>
      </c>
      <c r="Q23" s="5" t="n">
        <v>39129981.4</v>
      </c>
      <c r="R23" s="5" t="n">
        <v>39129981.68</v>
      </c>
      <c r="S23" s="5" t="n">
        <v>39129981.75</v>
      </c>
      <c r="T23" s="5" t="n">
        <v>39129981.77</v>
      </c>
      <c r="U23" s="5" t="n">
        <v>39129981.78</v>
      </c>
      <c r="V23" s="5" t="n">
        <v>39129981.78</v>
      </c>
      <c r="W23" s="5" t="n">
        <v>39129981.78</v>
      </c>
      <c r="X23" s="5" t="n">
        <v>39129981.78</v>
      </c>
      <c r="Y23" s="5" t="n">
        <v>39129981.78</v>
      </c>
    </row>
    <row r="24">
      <c r="A24" s="6" t="inlineStr">
        <is>
          <t>2024-11</t>
        </is>
      </c>
      <c r="B24" s="5" t="n">
        <v>10947125.43</v>
      </c>
      <c r="C24" s="5" t="n">
        <v>26998233.82</v>
      </c>
      <c r="D24" s="5" t="n">
        <v>33491594.24</v>
      </c>
      <c r="E24" s="5" t="n">
        <v>35778184.9</v>
      </c>
      <c r="F24" s="5" t="n">
        <v>36454259.86</v>
      </c>
      <c r="G24" s="5" t="n">
        <v>36689500.2</v>
      </c>
      <c r="H24" s="5" t="n">
        <v>36751525.11</v>
      </c>
      <c r="I24" s="5" t="n">
        <v>36770720.02</v>
      </c>
      <c r="J24" s="5" t="n">
        <v>36776731.82</v>
      </c>
      <c r="K24" s="5" t="n">
        <v>36778328.83</v>
      </c>
      <c r="L24" s="5" t="n">
        <v>36778818.96</v>
      </c>
      <c r="M24" s="5" t="n">
        <v>36778953.96</v>
      </c>
      <c r="N24" s="5" t="n">
        <v>36778992.74</v>
      </c>
      <c r="O24" s="5" t="n">
        <v>36779003.35</v>
      </c>
      <c r="P24" s="5" t="n">
        <v>36779006.38</v>
      </c>
      <c r="Q24" s="5" t="n">
        <v>36779007.21</v>
      </c>
      <c r="R24" s="5" t="n">
        <v>36779007.44</v>
      </c>
      <c r="S24" s="5" t="n">
        <v>36779007.51</v>
      </c>
      <c r="T24" s="5" t="n">
        <v>36779007.53</v>
      </c>
      <c r="U24" s="5" t="n">
        <v>36779007.53</v>
      </c>
      <c r="V24" s="5" t="n">
        <v>36779007.53</v>
      </c>
      <c r="W24" s="5" t="n">
        <v>36779007.53</v>
      </c>
      <c r="X24" s="5" t="n">
        <v>36779007.53</v>
      </c>
    </row>
    <row r="25">
      <c r="A25" s="6" t="inlineStr">
        <is>
          <t>2024-12</t>
        </is>
      </c>
      <c r="B25" s="5" t="n">
        <v>11777907.58</v>
      </c>
      <c r="C25" s="5" t="n">
        <v>29254183.23</v>
      </c>
      <c r="D25" s="5" t="n">
        <v>36100119.43</v>
      </c>
      <c r="E25" s="5" t="n">
        <v>38439882.55</v>
      </c>
      <c r="F25" s="5" t="n">
        <v>39223526.6</v>
      </c>
      <c r="G25" s="5" t="n">
        <v>39453942.64</v>
      </c>
      <c r="H25" s="5" t="n">
        <v>39525572.34</v>
      </c>
      <c r="I25" s="5" t="n">
        <v>39545938.24</v>
      </c>
      <c r="J25" s="5" t="n">
        <v>39551674.79</v>
      </c>
      <c r="K25" s="5" t="n">
        <v>39553330.81</v>
      </c>
      <c r="L25" s="5" t="n">
        <v>39553788.47</v>
      </c>
      <c r="M25" s="5" t="n">
        <v>39553926.03</v>
      </c>
      <c r="N25" s="5" t="n">
        <v>39553964.26</v>
      </c>
      <c r="O25" s="5" t="n">
        <v>39553975.04</v>
      </c>
      <c r="P25" s="5" t="n">
        <v>39553977.98</v>
      </c>
      <c r="Q25" s="5" t="n">
        <v>39553978.8</v>
      </c>
      <c r="R25" s="5" t="n">
        <v>39553979.04</v>
      </c>
      <c r="S25" s="5" t="n">
        <v>39553979.1</v>
      </c>
      <c r="T25" s="5" t="n">
        <v>39553979.12</v>
      </c>
      <c r="U25" s="5" t="n">
        <v>39553979.13</v>
      </c>
      <c r="V25" s="5" t="n">
        <v>39553979.13</v>
      </c>
      <c r="W25" s="5" t="n">
        <v>39553979.13</v>
      </c>
    </row>
    <row r="26">
      <c r="A26" s="6" t="inlineStr">
        <is>
          <t>2025-01</t>
        </is>
      </c>
      <c r="B26" s="5" t="n">
        <v>10980821.17</v>
      </c>
      <c r="C26" s="5" t="n">
        <v>27662514.01</v>
      </c>
      <c r="D26" s="5" t="n">
        <v>34047506.72</v>
      </c>
      <c r="E26" s="5" t="n">
        <v>36355168.32</v>
      </c>
      <c r="F26" s="5" t="n">
        <v>37004259.07</v>
      </c>
      <c r="G26" s="5" t="n">
        <v>37214459.69</v>
      </c>
      <c r="H26" s="5" t="n">
        <v>37278748.54</v>
      </c>
      <c r="I26" s="5" t="n">
        <v>37296825.14</v>
      </c>
      <c r="J26" s="5" t="n">
        <v>37302259.86</v>
      </c>
      <c r="K26" s="5" t="n">
        <v>37303806.63</v>
      </c>
      <c r="L26" s="5" t="n">
        <v>37304232.84</v>
      </c>
      <c r="M26" s="5" t="n">
        <v>37304352.84</v>
      </c>
      <c r="N26" s="5" t="n">
        <v>37304390.04</v>
      </c>
      <c r="O26" s="5" t="n">
        <v>37304399.88</v>
      </c>
      <c r="P26" s="5" t="n">
        <v>37304402.47</v>
      </c>
      <c r="Q26" s="5" t="n">
        <v>37304403.24</v>
      </c>
      <c r="R26" s="5" t="n">
        <v>37304403.45</v>
      </c>
      <c r="S26" s="5" t="n">
        <v>37304403.5</v>
      </c>
      <c r="T26" s="5" t="n">
        <v>37304403.52</v>
      </c>
      <c r="U26" s="5" t="n">
        <v>37304403.52</v>
      </c>
      <c r="V26" s="5" t="n">
        <v>37304403.52</v>
      </c>
    </row>
    <row r="27">
      <c r="A27" s="6" t="inlineStr">
        <is>
          <t>2025-02</t>
        </is>
      </c>
      <c r="B27" s="5" t="n">
        <v>11486967.28</v>
      </c>
      <c r="C27" s="5" t="n">
        <v>28081556.98</v>
      </c>
      <c r="D27" s="5" t="n">
        <v>34774359.4</v>
      </c>
      <c r="E27" s="5" t="n">
        <v>36992421.43</v>
      </c>
      <c r="F27" s="5" t="n">
        <v>37730157.74</v>
      </c>
      <c r="G27" s="5" t="n">
        <v>37945664.67</v>
      </c>
      <c r="H27" s="5" t="n">
        <v>38007865.85</v>
      </c>
      <c r="I27" s="5" t="n">
        <v>38027533.57</v>
      </c>
      <c r="J27" s="5" t="n">
        <v>38032661.64</v>
      </c>
      <c r="K27" s="5" t="n">
        <v>38034223.72</v>
      </c>
      <c r="L27" s="5" t="n">
        <v>38034677.47</v>
      </c>
      <c r="M27" s="5" t="n">
        <v>38034798.33</v>
      </c>
      <c r="N27" s="5" t="n">
        <v>38034833.17</v>
      </c>
      <c r="O27" s="5" t="n">
        <v>38034842.87</v>
      </c>
      <c r="P27" s="5" t="n">
        <v>38034845.55</v>
      </c>
      <c r="Q27" s="5" t="n">
        <v>38034846.3</v>
      </c>
      <c r="R27" s="5" t="n">
        <v>38034846.48</v>
      </c>
      <c r="S27" s="5" t="n">
        <v>38034846.56</v>
      </c>
      <c r="T27" s="5" t="n">
        <v>38034846.58</v>
      </c>
      <c r="U27" s="5" t="n">
        <v>38034846.58</v>
      </c>
    </row>
    <row r="28">
      <c r="A28" s="6" t="inlineStr">
        <is>
          <t>2025-03</t>
        </is>
      </c>
      <c r="B28" s="5" t="n">
        <v>12494843.84</v>
      </c>
      <c r="C28" s="5" t="n">
        <v>30711291.17</v>
      </c>
      <c r="D28" s="5" t="n">
        <v>38306807.89</v>
      </c>
      <c r="E28" s="5" t="n">
        <v>40807358.7</v>
      </c>
      <c r="F28" s="5" t="n">
        <v>41574585.46</v>
      </c>
      <c r="G28" s="5" t="n">
        <v>41812718.34</v>
      </c>
      <c r="H28" s="5" t="n">
        <v>41883475.92</v>
      </c>
      <c r="I28" s="5" t="n">
        <v>41904314.63</v>
      </c>
      <c r="J28" s="5" t="n">
        <v>41910199.92</v>
      </c>
      <c r="K28" s="5" t="n">
        <v>41911906.96</v>
      </c>
      <c r="L28" s="5" t="n">
        <v>41912376.81</v>
      </c>
      <c r="M28" s="5" t="n">
        <v>41912506.04</v>
      </c>
      <c r="N28" s="5" t="n">
        <v>41912541.61</v>
      </c>
      <c r="O28" s="5" t="n">
        <v>41912552.03</v>
      </c>
      <c r="P28" s="5" t="n">
        <v>41912554.66</v>
      </c>
      <c r="Q28" s="5" t="n">
        <v>41912555.37</v>
      </c>
      <c r="R28" s="5" t="n">
        <v>41912555.69</v>
      </c>
      <c r="S28" s="5" t="n">
        <v>41912555.75</v>
      </c>
      <c r="T28" s="5" t="n">
        <v>41912555.77</v>
      </c>
    </row>
    <row r="29">
      <c r="A29" s="6" t="inlineStr">
        <is>
          <t>2025-04</t>
        </is>
      </c>
      <c r="B29" s="5" t="n">
        <v>11730853.35</v>
      </c>
      <c r="C29" s="5" t="n">
        <v>28700638.53</v>
      </c>
      <c r="D29" s="5" t="n">
        <v>35357679.07</v>
      </c>
      <c r="E29" s="5" t="n">
        <v>37593993.34</v>
      </c>
      <c r="F29" s="5" t="n">
        <v>38329003.26</v>
      </c>
      <c r="G29" s="5" t="n">
        <v>38542755.35</v>
      </c>
      <c r="H29" s="5" t="n">
        <v>38605553.26</v>
      </c>
      <c r="I29" s="5" t="n">
        <v>38624067.22</v>
      </c>
      <c r="J29" s="5" t="n">
        <v>38629285.92</v>
      </c>
      <c r="K29" s="5" t="n">
        <v>38630757.1</v>
      </c>
      <c r="L29" s="5" t="n">
        <v>38631163.12</v>
      </c>
      <c r="M29" s="5" t="n">
        <v>38631281.25</v>
      </c>
      <c r="N29" s="5" t="n">
        <v>38631313.91</v>
      </c>
      <c r="O29" s="5" t="n">
        <v>38631322.66</v>
      </c>
      <c r="P29" s="5" t="n">
        <v>38631324.93</v>
      </c>
      <c r="Q29" s="5" t="n">
        <v>38631325.95</v>
      </c>
      <c r="R29" s="5" t="n">
        <v>38631326.14</v>
      </c>
      <c r="S29" s="5" t="n">
        <v>38631326.19</v>
      </c>
    </row>
    <row r="30">
      <c r="A30" s="6" t="inlineStr">
        <is>
          <t>2025-05</t>
        </is>
      </c>
      <c r="B30" s="5" t="n">
        <v>12274142.49</v>
      </c>
      <c r="C30" s="5" t="n">
        <v>29470723.15</v>
      </c>
      <c r="D30" s="5" t="n">
        <v>36240777.96</v>
      </c>
      <c r="E30" s="5" t="n">
        <v>38535861.59</v>
      </c>
      <c r="F30" s="5" t="n">
        <v>39283424.01</v>
      </c>
      <c r="G30" s="5" t="n">
        <v>39493352.46</v>
      </c>
      <c r="H30" s="5" t="n">
        <v>39556150.72</v>
      </c>
      <c r="I30" s="5" t="n">
        <v>39574212.5</v>
      </c>
      <c r="J30" s="5" t="n">
        <v>39579621.18</v>
      </c>
      <c r="K30" s="5" t="n">
        <v>39581100.53</v>
      </c>
      <c r="L30" s="5" t="n">
        <v>39581520.24</v>
      </c>
      <c r="M30" s="5" t="n">
        <v>39581635.82</v>
      </c>
      <c r="N30" s="5" t="n">
        <v>39581668.85</v>
      </c>
      <c r="O30" s="5" t="n">
        <v>39581676.42</v>
      </c>
      <c r="P30" s="5" t="n">
        <v>39581679.94</v>
      </c>
      <c r="Q30" s="5" t="n">
        <v>39581680.64</v>
      </c>
      <c r="R30" s="5" t="n">
        <v>39581680.83</v>
      </c>
    </row>
    <row r="31">
      <c r="A31" s="6" t="inlineStr">
        <is>
          <t>2025-06</t>
        </is>
      </c>
      <c r="B31" s="5" t="n">
        <v>11406593.14</v>
      </c>
      <c r="C31" s="5" t="n">
        <v>28540513.62</v>
      </c>
      <c r="D31" s="5" t="n">
        <v>35129491.76</v>
      </c>
      <c r="E31" s="5" t="n">
        <v>37297021.73</v>
      </c>
      <c r="F31" s="5" t="n">
        <v>37984142.98</v>
      </c>
      <c r="G31" s="5" t="n">
        <v>38194432.63</v>
      </c>
      <c r="H31" s="5" t="n">
        <v>38253219.52</v>
      </c>
      <c r="I31" s="5" t="n">
        <v>38269906.14</v>
      </c>
      <c r="J31" s="5" t="n">
        <v>38274859.54</v>
      </c>
      <c r="K31" s="5" t="n">
        <v>38276228.59</v>
      </c>
      <c r="L31" s="5" t="n">
        <v>38276614.81</v>
      </c>
      <c r="M31" s="5" t="n">
        <v>38276717.07</v>
      </c>
      <c r="N31" s="5" t="n">
        <v>38276744.46</v>
      </c>
      <c r="O31" s="5" t="n">
        <v>38276755.85</v>
      </c>
      <c r="P31" s="5" t="n">
        <v>38276758.05</v>
      </c>
      <c r="Q31" s="5" t="n">
        <v>38276758.63</v>
      </c>
    </row>
    <row r="32">
      <c r="A32" s="6" t="inlineStr">
        <is>
          <t>2025-07</t>
        </is>
      </c>
      <c r="B32" s="5" t="n">
        <v>11690589.3</v>
      </c>
      <c r="C32" s="5" t="n">
        <v>28204225.67</v>
      </c>
      <c r="D32" s="5" t="n">
        <v>34560127.11</v>
      </c>
      <c r="E32" s="5" t="n">
        <v>36779147.12</v>
      </c>
      <c r="F32" s="5" t="n">
        <v>37434728.06</v>
      </c>
      <c r="G32" s="5" t="n">
        <v>37626326.13</v>
      </c>
      <c r="H32" s="5" t="n">
        <v>37681381.77</v>
      </c>
      <c r="I32" s="5" t="n">
        <v>37696665.74</v>
      </c>
      <c r="J32" s="5" t="n">
        <v>37701221.08</v>
      </c>
      <c r="K32" s="5" t="n">
        <v>37702433.14</v>
      </c>
      <c r="L32" s="5" t="n">
        <v>37702770.31</v>
      </c>
      <c r="M32" s="5" t="n">
        <v>37702858.06</v>
      </c>
      <c r="N32" s="5" t="n">
        <v>37702896.54</v>
      </c>
      <c r="O32" s="5" t="n">
        <v>37702903.71</v>
      </c>
      <c r="P32" s="5" t="n">
        <v>37702905.71</v>
      </c>
    </row>
    <row r="33">
      <c r="A33" s="6" t="inlineStr">
        <is>
          <t>2025-08</t>
        </is>
      </c>
      <c r="B33" s="5" t="n">
        <v>12790088.01</v>
      </c>
      <c r="C33" s="5" t="n">
        <v>30184399.73</v>
      </c>
      <c r="D33" s="5" t="n">
        <v>36984769.69</v>
      </c>
      <c r="E33" s="5" t="n">
        <v>39339432</v>
      </c>
      <c r="F33" s="5" t="n">
        <v>40053587.98</v>
      </c>
      <c r="G33" s="5" t="n">
        <v>40286163.46</v>
      </c>
      <c r="H33" s="5" t="n">
        <v>40347558.3</v>
      </c>
      <c r="I33" s="5" t="n">
        <v>40365046.24</v>
      </c>
      <c r="J33" s="5" t="n">
        <v>40370191.76</v>
      </c>
      <c r="K33" s="5" t="n">
        <v>40371545.43</v>
      </c>
      <c r="L33" s="5" t="n">
        <v>40371883.12</v>
      </c>
      <c r="M33" s="5" t="n">
        <v>40372035.95</v>
      </c>
      <c r="N33" s="5" t="n">
        <v>40372065.58</v>
      </c>
      <c r="O33" s="5" t="n">
        <v>40372073.26</v>
      </c>
    </row>
    <row r="34">
      <c r="A34" s="6" t="inlineStr">
        <is>
          <t>2025-09</t>
        </is>
      </c>
      <c r="B34" s="5" t="n">
        <v>12898842.36</v>
      </c>
      <c r="C34" s="5" t="n">
        <v>30573591.99</v>
      </c>
      <c r="D34" s="5" t="n">
        <v>37335517.71</v>
      </c>
      <c r="E34" s="5" t="n">
        <v>39682469.18</v>
      </c>
      <c r="F34" s="5" t="n">
        <v>40415178.9</v>
      </c>
      <c r="G34" s="5" t="n">
        <v>40614745.35</v>
      </c>
      <c r="H34" s="5" t="n">
        <v>40675019</v>
      </c>
      <c r="I34" s="5" t="n">
        <v>40692799.25</v>
      </c>
      <c r="J34" s="5" t="n">
        <v>40697484.63</v>
      </c>
      <c r="K34" s="5" t="n">
        <v>40698683.93</v>
      </c>
      <c r="L34" s="5" t="n">
        <v>40699212.85</v>
      </c>
      <c r="M34" s="5" t="n">
        <v>40699316.62</v>
      </c>
      <c r="N34" s="5" t="n">
        <v>40699344.93</v>
      </c>
    </row>
    <row r="35">
      <c r="A35" s="6" t="inlineStr">
        <is>
          <t>2025-10</t>
        </is>
      </c>
      <c r="B35" s="5" t="n">
        <v>13192267.98</v>
      </c>
      <c r="C35" s="5" t="n">
        <v>30909864.37</v>
      </c>
      <c r="D35" s="5" t="n">
        <v>38446519.19</v>
      </c>
      <c r="E35" s="5" t="n">
        <v>40850120.53</v>
      </c>
      <c r="F35" s="5" t="n">
        <v>41570520.05</v>
      </c>
      <c r="G35" s="5" t="n">
        <v>41791770.17</v>
      </c>
      <c r="H35" s="5" t="n">
        <v>41854704.09</v>
      </c>
      <c r="I35" s="5" t="n">
        <v>41873467.9</v>
      </c>
      <c r="J35" s="5" t="n">
        <v>41877652.19</v>
      </c>
      <c r="K35" s="5" t="n">
        <v>41879570.81</v>
      </c>
      <c r="L35" s="5" t="n">
        <v>41879930.37</v>
      </c>
      <c r="M35" s="5" t="n">
        <v>41880029.34</v>
      </c>
    </row>
    <row r="36">
      <c r="A36" s="6" t="inlineStr">
        <is>
          <t>2025-11</t>
        </is>
      </c>
      <c r="B36" s="5" t="n">
        <v>12870132.53</v>
      </c>
      <c r="C36" s="5" t="n">
        <v>31286565.45</v>
      </c>
      <c r="D36" s="5" t="n">
        <v>38424392.61</v>
      </c>
      <c r="E36" s="5" t="n">
        <v>40731121.95</v>
      </c>
      <c r="F36" s="5" t="n">
        <v>41425906.71</v>
      </c>
      <c r="G36" s="5" t="n">
        <v>41631065.03</v>
      </c>
      <c r="H36" s="5" t="n">
        <v>41690707.13</v>
      </c>
      <c r="I36" s="5" t="n">
        <v>41705871.06</v>
      </c>
      <c r="J36" s="5" t="n">
        <v>41712562.72</v>
      </c>
      <c r="K36" s="5" t="n">
        <v>41713837.73</v>
      </c>
      <c r="L36" s="5" t="n">
        <v>41714188.62</v>
      </c>
    </row>
    <row r="37">
      <c r="A37" s="6" t="inlineStr">
        <is>
          <t>2025-12</t>
        </is>
      </c>
      <c r="B37" s="5" t="n">
        <v>14036200.99</v>
      </c>
      <c r="C37" s="5" t="n">
        <v>34214209.64</v>
      </c>
      <c r="D37" s="5" t="n">
        <v>41862541.96</v>
      </c>
      <c r="E37" s="5" t="n">
        <v>44477727.26</v>
      </c>
      <c r="F37" s="5" t="n">
        <v>45198690.64</v>
      </c>
      <c r="G37" s="5" t="n">
        <v>45417317.08</v>
      </c>
      <c r="H37" s="5" t="n">
        <v>45471222.75</v>
      </c>
      <c r="I37" s="5" t="n">
        <v>45495885.29</v>
      </c>
      <c r="J37" s="5" t="n">
        <v>45500877.93</v>
      </c>
      <c r="K37" s="5" t="n">
        <v>45502140.16</v>
      </c>
    </row>
    <row r="38">
      <c r="A38" s="6" t="inlineStr">
        <is>
          <t>2026-01</t>
        </is>
      </c>
      <c r="B38" s="5" t="n">
        <v>13568743.01</v>
      </c>
      <c r="C38" s="5" t="n">
        <v>31111617.16</v>
      </c>
      <c r="D38" s="5" t="n">
        <v>38323117.92</v>
      </c>
      <c r="E38" s="5" t="n">
        <v>40621320.69</v>
      </c>
      <c r="F38" s="5" t="n">
        <v>41323482.72</v>
      </c>
      <c r="G38" s="5" t="n">
        <v>41500031.2</v>
      </c>
      <c r="H38" s="5" t="n">
        <v>41581792.82</v>
      </c>
      <c r="I38" s="5" t="n">
        <v>41598045.71</v>
      </c>
      <c r="J38" s="5" t="n">
        <v>41602445.92</v>
      </c>
    </row>
    <row r="39">
      <c r="A39" s="6" t="inlineStr">
        <is>
          <t>2026-02</t>
        </is>
      </c>
      <c r="B39" s="5" t="n">
        <v>13097697.88</v>
      </c>
      <c r="C39" s="5" t="n">
        <v>31723437.91</v>
      </c>
      <c r="D39" s="5" t="n">
        <v>38470711.28</v>
      </c>
      <c r="E39" s="5" t="n">
        <v>40714633.72</v>
      </c>
      <c r="F39" s="5" t="n">
        <v>41314996.23</v>
      </c>
      <c r="G39" s="5" t="n">
        <v>41595644.03</v>
      </c>
      <c r="H39" s="5" t="n">
        <v>41647847.12</v>
      </c>
      <c r="I39" s="5" t="n">
        <v>41663359.3</v>
      </c>
    </row>
    <row r="40">
      <c r="A40" s="6" t="inlineStr">
        <is>
          <t>2026-03</t>
        </is>
      </c>
      <c r="B40" s="5" t="n">
        <v>13721024.15</v>
      </c>
      <c r="C40" s="5" t="n">
        <v>32505352.83</v>
      </c>
      <c r="D40" s="5" t="n">
        <v>39568428.37</v>
      </c>
      <c r="E40" s="5" t="n">
        <v>41532907.8</v>
      </c>
      <c r="F40" s="5" t="n">
        <v>42506105.33</v>
      </c>
      <c r="G40" s="5" t="n">
        <v>42729015.13</v>
      </c>
      <c r="H40" s="5" t="n">
        <v>42782524.32</v>
      </c>
    </row>
    <row r="41">
      <c r="A41" s="6" t="inlineStr">
        <is>
          <t>2026-04</t>
        </is>
      </c>
      <c r="B41" s="5" t="n">
        <v>14789333.94</v>
      </c>
      <c r="C41" s="5" t="n">
        <v>33789948.88</v>
      </c>
      <c r="D41" s="5" t="n">
        <v>40525294.56</v>
      </c>
      <c r="E41" s="5" t="n">
        <v>43814991.29</v>
      </c>
      <c r="F41" s="5" t="n">
        <v>44531304.63</v>
      </c>
      <c r="G41" s="5" t="n">
        <v>44745681.34</v>
      </c>
    </row>
    <row r="42">
      <c r="A42" s="6" t="inlineStr">
        <is>
          <t>2026-05</t>
        </is>
      </c>
      <c r="B42" s="5" t="n">
        <v>13863018.12</v>
      </c>
      <c r="C42" s="5" t="n">
        <v>30995970</v>
      </c>
      <c r="D42" s="5" t="n">
        <v>40939798.73</v>
      </c>
      <c r="E42" s="5" t="n">
        <v>43357639.03</v>
      </c>
      <c r="F42" s="5" t="n">
        <v>44043126.94</v>
      </c>
    </row>
    <row r="43">
      <c r="A43" s="6" t="inlineStr">
        <is>
          <t>2026-06</t>
        </is>
      </c>
      <c r="B43" s="5" t="n">
        <v>12217962.48</v>
      </c>
      <c r="C43" s="5" t="n">
        <v>32684018.73</v>
      </c>
      <c r="D43" s="5" t="n">
        <v>39687884.56</v>
      </c>
      <c r="E43" s="5" t="n">
        <v>41964304.32</v>
      </c>
    </row>
    <row r="44">
      <c r="A44" s="6" t="inlineStr">
        <is>
          <t>2026-07</t>
        </is>
      </c>
      <c r="B44" s="5" t="n">
        <v>14048238.81</v>
      </c>
      <c r="C44" s="5" t="n">
        <v>32695919.85</v>
      </c>
      <c r="D44" s="5" t="n">
        <v>39926811.51</v>
      </c>
    </row>
    <row r="45">
      <c r="A45" s="6" t="inlineStr">
        <is>
          <t>2026-08</t>
        </is>
      </c>
      <c r="B45" s="5" t="n">
        <v>15164992.64</v>
      </c>
      <c r="C45" s="5" t="n">
        <v>35564966.69</v>
      </c>
    </row>
    <row r="46">
      <c r="A46" s="6" t="inlineStr">
        <is>
          <t>2026-09</t>
        </is>
      </c>
      <c r="B46" s="5" t="n">
        <v>14239496.26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Incurred</t>
        </is>
      </c>
      <c r="B1" s="3" t="inlineStr">
        <is>
          <t>0-1</t>
        </is>
      </c>
      <c r="C1" s="3" t="inlineStr">
        <is>
          <t>1-2</t>
        </is>
      </c>
      <c r="D1" s="3" t="inlineStr">
        <is>
          <t>2-3</t>
        </is>
      </c>
      <c r="E1" s="3" t="inlineStr">
        <is>
          <t>3-4</t>
        </is>
      </c>
      <c r="F1" s="3" t="inlineStr">
        <is>
          <t>4-5</t>
        </is>
      </c>
      <c r="G1" s="3" t="inlineStr">
        <is>
          <t>5-6</t>
        </is>
      </c>
      <c r="H1" s="3" t="inlineStr">
        <is>
          <t>6-7</t>
        </is>
      </c>
      <c r="I1" s="3" t="inlineStr">
        <is>
          <t>7-8</t>
        </is>
      </c>
      <c r="J1" s="3" t="inlineStr">
        <is>
          <t>8-9</t>
        </is>
      </c>
      <c r="K1" s="3" t="inlineStr">
        <is>
          <t>9-10</t>
        </is>
      </c>
      <c r="L1" s="3" t="inlineStr">
        <is>
          <t>10-11</t>
        </is>
      </c>
      <c r="M1" s="3" t="inlineStr">
        <is>
          <t>11-12</t>
        </is>
      </c>
      <c r="N1" s="3" t="inlineStr">
        <is>
          <t>12-13</t>
        </is>
      </c>
      <c r="O1" s="3" t="inlineStr">
        <is>
          <t>13-14</t>
        </is>
      </c>
      <c r="P1" s="3" t="inlineStr">
        <is>
          <t>14-15</t>
        </is>
      </c>
      <c r="Q1" s="3" t="inlineStr">
        <is>
          <t>15-16</t>
        </is>
      </c>
      <c r="R1" s="3" t="inlineStr">
        <is>
          <t>16-17</t>
        </is>
      </c>
      <c r="S1" s="3" t="inlineStr">
        <is>
          <t>17-18</t>
        </is>
      </c>
      <c r="T1" s="3" t="inlineStr">
        <is>
          <t>18-19</t>
        </is>
      </c>
      <c r="U1" s="3" t="inlineStr">
        <is>
          <t>19-20</t>
        </is>
      </c>
      <c r="V1" s="3" t="inlineStr">
        <is>
          <t>20-21</t>
        </is>
      </c>
      <c r="W1" s="3" t="inlineStr">
        <is>
          <t>21-22</t>
        </is>
      </c>
      <c r="X1" s="3" t="inlineStr">
        <is>
          <t>22-23</t>
        </is>
      </c>
      <c r="Y1" s="3" t="inlineStr">
        <is>
          <t>23-24</t>
        </is>
      </c>
      <c r="Z1" s="3" t="inlineStr">
        <is>
          <t>24-25</t>
        </is>
      </c>
      <c r="AA1" s="3" t="inlineStr">
        <is>
          <t>25-26</t>
        </is>
      </c>
      <c r="AB1" s="3" t="inlineStr">
        <is>
          <t>26-27</t>
        </is>
      </c>
      <c r="AC1" s="3" t="inlineStr">
        <is>
          <t>27-28</t>
        </is>
      </c>
      <c r="AD1" s="3" t="inlineStr">
        <is>
          <t>28-29</t>
        </is>
      </c>
      <c r="AE1" s="3" t="inlineStr">
        <is>
          <t>29-30</t>
        </is>
      </c>
      <c r="AF1" s="3" t="inlineStr">
        <is>
          <t>30-31</t>
        </is>
      </c>
      <c r="AG1" s="3" t="inlineStr">
        <is>
          <t>31-32</t>
        </is>
      </c>
      <c r="AH1" s="3" t="inlineStr">
        <is>
          <t>32-33</t>
        </is>
      </c>
      <c r="AI1" s="3" t="inlineStr">
        <is>
          <t>33-34</t>
        </is>
      </c>
      <c r="AJ1" s="3" t="inlineStr">
        <is>
          <t>34-35</t>
        </is>
      </c>
      <c r="AK1" s="3" t="inlineStr">
        <is>
          <t>35-36</t>
        </is>
      </c>
      <c r="AL1" s="3" t="inlineStr">
        <is>
          <t>36-37</t>
        </is>
      </c>
      <c r="AM1" s="3" t="inlineStr">
        <is>
          <t>37-38</t>
        </is>
      </c>
      <c r="AN1" s="3" t="inlineStr">
        <is>
          <t>38-39</t>
        </is>
      </c>
      <c r="AO1" s="3" t="inlineStr">
        <is>
          <t>39-40</t>
        </is>
      </c>
      <c r="AP1" s="3" t="inlineStr">
        <is>
          <t>40-41</t>
        </is>
      </c>
      <c r="AQ1" s="3" t="inlineStr">
        <is>
          <t>41-42</t>
        </is>
      </c>
      <c r="AR1" s="3" t="inlineStr">
        <is>
          <t>42-43</t>
        </is>
      </c>
      <c r="AS1" s="3" t="inlineStr">
        <is>
          <t>43-44</t>
        </is>
      </c>
    </row>
    <row r="2">
      <c r="A2" s="6" t="inlineStr">
        <is>
          <t>2023-01</t>
        </is>
      </c>
      <c r="B2" s="10">
        <f>IF('Prof Triangle'!B2&gt;0,'Prof Triangle'!C2/'Prof Triangle'!B2,"")</f>
        <v/>
      </c>
      <c r="C2" s="10">
        <f>IF('Prof Triangle'!C2&gt;0,'Prof Triangle'!D2/'Prof Triangle'!C2,"")</f>
        <v/>
      </c>
      <c r="D2" s="10">
        <f>IF('Prof Triangle'!D2&gt;0,'Prof Triangle'!E2/'Prof Triangle'!D2,"")</f>
        <v/>
      </c>
      <c r="E2" s="10">
        <f>IF('Prof Triangle'!E2&gt;0,'Prof Triangle'!F2/'Prof Triangle'!E2,"")</f>
        <v/>
      </c>
      <c r="F2" s="10">
        <f>IF('Prof Triangle'!F2&gt;0,'Prof Triangle'!G2/'Prof Triangle'!F2,"")</f>
        <v/>
      </c>
      <c r="G2" s="10">
        <f>IF('Prof Triangle'!G2&gt;0,'Prof Triangle'!H2/'Prof Triangle'!G2,"")</f>
        <v/>
      </c>
      <c r="H2" s="10">
        <f>IF('Prof Triangle'!H2&gt;0,'Prof Triangle'!I2/'Prof Triangle'!H2,"")</f>
        <v/>
      </c>
      <c r="I2" s="10">
        <f>IF('Prof Triangle'!I2&gt;0,'Prof Triangle'!J2/'Prof Triangle'!I2,"")</f>
        <v/>
      </c>
      <c r="J2" s="10">
        <f>IF('Prof Triangle'!J2&gt;0,'Prof Triangle'!K2/'Prof Triangle'!J2,"")</f>
        <v/>
      </c>
      <c r="K2" s="10">
        <f>IF('Prof Triangle'!K2&gt;0,'Prof Triangle'!L2/'Prof Triangle'!K2,"")</f>
        <v/>
      </c>
      <c r="L2" s="10">
        <f>IF('Prof Triangle'!L2&gt;0,'Prof Triangle'!M2/'Prof Triangle'!L2,"")</f>
        <v/>
      </c>
      <c r="M2" s="10">
        <f>IF('Prof Triangle'!M2&gt;0,'Prof Triangle'!N2/'Prof Triangle'!M2,"")</f>
        <v/>
      </c>
      <c r="N2" s="10">
        <f>IF('Prof Triangle'!N2&gt;0,'Prof Triangle'!O2/'Prof Triangle'!N2,"")</f>
        <v/>
      </c>
      <c r="O2" s="10">
        <f>IF('Prof Triangle'!O2&gt;0,'Prof Triangle'!P2/'Prof Triangle'!O2,"")</f>
        <v/>
      </c>
      <c r="P2" s="10">
        <f>IF('Prof Triangle'!P2&gt;0,'Prof Triangle'!Q2/'Prof Triangle'!P2,"")</f>
        <v/>
      </c>
      <c r="Q2" s="10">
        <f>IF('Prof Triangle'!Q2&gt;0,'Prof Triangle'!R2/'Prof Triangle'!Q2,"")</f>
        <v/>
      </c>
      <c r="R2" s="10">
        <f>IF('Prof Triangle'!R2&gt;0,'Prof Triangle'!S2/'Prof Triangle'!R2,"")</f>
        <v/>
      </c>
      <c r="S2" s="10">
        <f>IF('Prof Triangle'!S2&gt;0,'Prof Triangle'!T2/'Prof Triangle'!S2,"")</f>
        <v/>
      </c>
      <c r="T2" s="10">
        <f>IF('Prof Triangle'!T2&gt;0,'Prof Triangle'!U2/'Prof Triangle'!T2,"")</f>
        <v/>
      </c>
      <c r="U2" s="10">
        <f>IF('Prof Triangle'!U2&gt;0,'Prof Triangle'!V2/'Prof Triangle'!U2,"")</f>
        <v/>
      </c>
      <c r="V2" s="10">
        <f>IF('Prof Triangle'!V2&gt;0,'Prof Triangle'!W2/'Prof Triangle'!V2,"")</f>
        <v/>
      </c>
      <c r="W2" s="10">
        <f>IF('Prof Triangle'!W2&gt;0,'Prof Triangle'!X2/'Prof Triangle'!W2,"")</f>
        <v/>
      </c>
      <c r="X2" s="10">
        <f>IF('Prof Triangle'!X2&gt;0,'Prof Triangle'!Y2/'Prof Triangle'!X2,"")</f>
        <v/>
      </c>
      <c r="Y2" s="10">
        <f>IF('Prof Triangle'!Y2&gt;0,'Prof Triangle'!Z2/'Prof Triangle'!Y2,"")</f>
        <v/>
      </c>
      <c r="Z2" s="10">
        <f>IF('Prof Triangle'!Z2&gt;0,'Prof Triangle'!AA2/'Prof Triangle'!Z2,"")</f>
        <v/>
      </c>
      <c r="AA2" s="10">
        <f>IF('Prof Triangle'!AA2&gt;0,'Prof Triangle'!AB2/'Prof Triangle'!AA2,"")</f>
        <v/>
      </c>
      <c r="AB2" s="10">
        <f>IF('Prof Triangle'!AB2&gt;0,'Prof Triangle'!AC2/'Prof Triangle'!AB2,"")</f>
        <v/>
      </c>
      <c r="AC2" s="10">
        <f>IF('Prof Triangle'!AC2&gt;0,'Prof Triangle'!AD2/'Prof Triangle'!AC2,"")</f>
        <v/>
      </c>
      <c r="AD2" s="10">
        <f>IF('Prof Triangle'!AD2&gt;0,'Prof Triangle'!AE2/'Prof Triangle'!AD2,"")</f>
        <v/>
      </c>
      <c r="AE2" s="10">
        <f>IF('Prof Triangle'!AE2&gt;0,'Prof Triangle'!AF2/'Prof Triangle'!AE2,"")</f>
        <v/>
      </c>
      <c r="AF2" s="10">
        <f>IF('Prof Triangle'!AF2&gt;0,'Prof Triangle'!AG2/'Prof Triangle'!AF2,"")</f>
        <v/>
      </c>
      <c r="AG2" s="10">
        <f>IF('Prof Triangle'!AG2&gt;0,'Prof Triangle'!AH2/'Prof Triangle'!AG2,"")</f>
        <v/>
      </c>
      <c r="AH2" s="10">
        <f>IF('Prof Triangle'!AH2&gt;0,'Prof Triangle'!AI2/'Prof Triangle'!AH2,"")</f>
        <v/>
      </c>
      <c r="AI2" s="10">
        <f>IF('Prof Triangle'!AI2&gt;0,'Prof Triangle'!AJ2/'Prof Triangle'!AI2,"")</f>
        <v/>
      </c>
      <c r="AJ2" s="10">
        <f>IF('Prof Triangle'!AJ2&gt;0,'Prof Triangle'!AK2/'Prof Triangle'!AJ2,"")</f>
        <v/>
      </c>
      <c r="AK2" s="10">
        <f>IF('Prof Triangle'!AK2&gt;0,'Prof Triangle'!AL2/'Prof Triangle'!AK2,"")</f>
        <v/>
      </c>
      <c r="AL2" s="10">
        <f>IF('Prof Triangle'!AL2&gt;0,'Prof Triangle'!AM2/'Prof Triangle'!AL2,"")</f>
        <v/>
      </c>
      <c r="AM2" s="10">
        <f>IF('Prof Triangle'!AM2&gt;0,'Prof Triangle'!AN2/'Prof Triangle'!AM2,"")</f>
        <v/>
      </c>
      <c r="AN2" s="10">
        <f>IF('Prof Triangle'!AN2&gt;0,'Prof Triangle'!AO2/'Prof Triangle'!AN2,"")</f>
        <v/>
      </c>
      <c r="AO2" s="10">
        <f>IF('Prof Triangle'!AO2&gt;0,'Prof Triangle'!AP2/'Prof Triangle'!AO2,"")</f>
        <v/>
      </c>
      <c r="AP2" s="11">
        <f>IF('Prof Triangle'!AP2&gt;0,'Prof Triangle'!AQ2/'Prof Triangle'!AP2,"")</f>
        <v/>
      </c>
      <c r="AQ2" s="11">
        <f>IF('Prof Triangle'!AQ2&gt;0,'Prof Triangle'!AR2/'Prof Triangle'!AQ2,"")</f>
        <v/>
      </c>
      <c r="AR2" s="10">
        <f>IF('Prof Triangle'!AR2&gt;0,'Prof Triangle'!AS2/'Prof Triangle'!AR2,"")</f>
        <v/>
      </c>
      <c r="AS2" s="10">
        <f>IF('Prof Triangle'!AS2&gt;0,'Prof Triangle'!AT2/'Prof Triangle'!AS2,"")</f>
        <v/>
      </c>
    </row>
    <row r="3">
      <c r="A3" s="6" t="inlineStr">
        <is>
          <t>2023-02</t>
        </is>
      </c>
      <c r="B3" s="10">
        <f>IF('Prof Triangle'!B3&gt;0,'Prof Triangle'!C3/'Prof Triangle'!B3,"")</f>
        <v/>
      </c>
      <c r="C3" s="10">
        <f>IF('Prof Triangle'!C3&gt;0,'Prof Triangle'!D3/'Prof Triangle'!C3,"")</f>
        <v/>
      </c>
      <c r="D3" s="10">
        <f>IF('Prof Triangle'!D3&gt;0,'Prof Triangle'!E3/'Prof Triangle'!D3,"")</f>
        <v/>
      </c>
      <c r="E3" s="10">
        <f>IF('Prof Triangle'!E3&gt;0,'Prof Triangle'!F3/'Prof Triangle'!E3,"")</f>
        <v/>
      </c>
      <c r="F3" s="10">
        <f>IF('Prof Triangle'!F3&gt;0,'Prof Triangle'!G3/'Prof Triangle'!F3,"")</f>
        <v/>
      </c>
      <c r="G3" s="10">
        <f>IF('Prof Triangle'!G3&gt;0,'Prof Triangle'!H3/'Prof Triangle'!G3,"")</f>
        <v/>
      </c>
      <c r="H3" s="10">
        <f>IF('Prof Triangle'!H3&gt;0,'Prof Triangle'!I3/'Prof Triangle'!H3,"")</f>
        <v/>
      </c>
      <c r="I3" s="10">
        <f>IF('Prof Triangle'!I3&gt;0,'Prof Triangle'!J3/'Prof Triangle'!I3,"")</f>
        <v/>
      </c>
      <c r="J3" s="10">
        <f>IF('Prof Triangle'!J3&gt;0,'Prof Triangle'!K3/'Prof Triangle'!J3,"")</f>
        <v/>
      </c>
      <c r="K3" s="10">
        <f>IF('Prof Triangle'!K3&gt;0,'Prof Triangle'!L3/'Prof Triangle'!K3,"")</f>
        <v/>
      </c>
      <c r="L3" s="10">
        <f>IF('Prof Triangle'!L3&gt;0,'Prof Triangle'!M3/'Prof Triangle'!L3,"")</f>
        <v/>
      </c>
      <c r="M3" s="10">
        <f>IF('Prof Triangle'!M3&gt;0,'Prof Triangle'!N3/'Prof Triangle'!M3,"")</f>
        <v/>
      </c>
      <c r="N3" s="10">
        <f>IF('Prof Triangle'!N3&gt;0,'Prof Triangle'!O3/'Prof Triangle'!N3,"")</f>
        <v/>
      </c>
      <c r="O3" s="10">
        <f>IF('Prof Triangle'!O3&gt;0,'Prof Triangle'!P3/'Prof Triangle'!O3,"")</f>
        <v/>
      </c>
      <c r="P3" s="10">
        <f>IF('Prof Triangle'!P3&gt;0,'Prof Triangle'!Q3/'Prof Triangle'!P3,"")</f>
        <v/>
      </c>
      <c r="Q3" s="10">
        <f>IF('Prof Triangle'!Q3&gt;0,'Prof Triangle'!R3/'Prof Triangle'!Q3,"")</f>
        <v/>
      </c>
      <c r="R3" s="10">
        <f>IF('Prof Triangle'!R3&gt;0,'Prof Triangle'!S3/'Prof Triangle'!R3,"")</f>
        <v/>
      </c>
      <c r="S3" s="10">
        <f>IF('Prof Triangle'!S3&gt;0,'Prof Triangle'!T3/'Prof Triangle'!S3,"")</f>
        <v/>
      </c>
      <c r="T3" s="10">
        <f>IF('Prof Triangle'!T3&gt;0,'Prof Triangle'!U3/'Prof Triangle'!T3,"")</f>
        <v/>
      </c>
      <c r="U3" s="10">
        <f>IF('Prof Triangle'!U3&gt;0,'Prof Triangle'!V3/'Prof Triangle'!U3,"")</f>
        <v/>
      </c>
      <c r="V3" s="10">
        <f>IF('Prof Triangle'!V3&gt;0,'Prof Triangle'!W3/'Prof Triangle'!V3,"")</f>
        <v/>
      </c>
      <c r="W3" s="10">
        <f>IF('Prof Triangle'!W3&gt;0,'Prof Triangle'!X3/'Prof Triangle'!W3,"")</f>
        <v/>
      </c>
      <c r="X3" s="10">
        <f>IF('Prof Triangle'!X3&gt;0,'Prof Triangle'!Y3/'Prof Triangle'!X3,"")</f>
        <v/>
      </c>
      <c r="Y3" s="10">
        <f>IF('Prof Triangle'!Y3&gt;0,'Prof Triangle'!Z3/'Prof Triangle'!Y3,"")</f>
        <v/>
      </c>
      <c r="Z3" s="10">
        <f>IF('Prof Triangle'!Z3&gt;0,'Prof Triangle'!AA3/'Prof Triangle'!Z3,"")</f>
        <v/>
      </c>
      <c r="AA3" s="10">
        <f>IF('Prof Triangle'!AA3&gt;0,'Prof Triangle'!AB3/'Prof Triangle'!AA3,"")</f>
        <v/>
      </c>
      <c r="AB3" s="10">
        <f>IF('Prof Triangle'!AB3&gt;0,'Prof Triangle'!AC3/'Prof Triangle'!AB3,"")</f>
        <v/>
      </c>
      <c r="AC3" s="10">
        <f>IF('Prof Triangle'!AC3&gt;0,'Prof Triangle'!AD3/'Prof Triangle'!AC3,"")</f>
        <v/>
      </c>
      <c r="AD3" s="10">
        <f>IF('Prof Triangle'!AD3&gt;0,'Prof Triangle'!AE3/'Prof Triangle'!AD3,"")</f>
        <v/>
      </c>
      <c r="AE3" s="10">
        <f>IF('Prof Triangle'!AE3&gt;0,'Prof Triangle'!AF3/'Prof Triangle'!AE3,"")</f>
        <v/>
      </c>
      <c r="AF3" s="10">
        <f>IF('Prof Triangle'!AF3&gt;0,'Prof Triangle'!AG3/'Prof Triangle'!AF3,"")</f>
        <v/>
      </c>
      <c r="AG3" s="10">
        <f>IF('Prof Triangle'!AG3&gt;0,'Prof Triangle'!AH3/'Prof Triangle'!AG3,"")</f>
        <v/>
      </c>
      <c r="AH3" s="10">
        <f>IF('Prof Triangle'!AH3&gt;0,'Prof Triangle'!AI3/'Prof Triangle'!AH3,"")</f>
        <v/>
      </c>
      <c r="AI3" s="10">
        <f>IF('Prof Triangle'!AI3&gt;0,'Prof Triangle'!AJ3/'Prof Triangle'!AI3,"")</f>
        <v/>
      </c>
      <c r="AJ3" s="10">
        <f>IF('Prof Triangle'!AJ3&gt;0,'Prof Triangle'!AK3/'Prof Triangle'!AJ3,"")</f>
        <v/>
      </c>
      <c r="AK3" s="10">
        <f>IF('Prof Triangle'!AK3&gt;0,'Prof Triangle'!AL3/'Prof Triangle'!AK3,"")</f>
        <v/>
      </c>
      <c r="AL3" s="10">
        <f>IF('Prof Triangle'!AL3&gt;0,'Prof Triangle'!AM3/'Prof Triangle'!AL3,"")</f>
        <v/>
      </c>
      <c r="AM3" s="10">
        <f>IF('Prof Triangle'!AM3&gt;0,'Prof Triangle'!AN3/'Prof Triangle'!AM3,"")</f>
        <v/>
      </c>
      <c r="AN3" s="10">
        <f>IF('Prof Triangle'!AN3&gt;0,'Prof Triangle'!AO3/'Prof Triangle'!AN3,"")</f>
        <v/>
      </c>
      <c r="AO3" s="11">
        <f>IF('Prof Triangle'!AO3&gt;0,'Prof Triangle'!AP3/'Prof Triangle'!AO3,"")</f>
        <v/>
      </c>
      <c r="AP3" s="11">
        <f>IF('Prof Triangle'!AP3&gt;0,'Prof Triangle'!AQ3/'Prof Triangle'!AP3,"")</f>
        <v/>
      </c>
      <c r="AQ3" s="10">
        <f>IF('Prof Triangle'!AQ3&gt;0,'Prof Triangle'!AR3/'Prof Triangle'!AQ3,"")</f>
        <v/>
      </c>
      <c r="AR3" s="10">
        <f>IF('Prof Triangle'!AR3&gt;0,'Prof Triangle'!AS3/'Prof Triangle'!AR3,"")</f>
        <v/>
      </c>
    </row>
    <row r="4">
      <c r="A4" s="6" t="inlineStr">
        <is>
          <t>2023-03</t>
        </is>
      </c>
      <c r="B4" s="10">
        <f>IF('Prof Triangle'!B4&gt;0,'Prof Triangle'!C4/'Prof Triangle'!B4,"")</f>
        <v/>
      </c>
      <c r="C4" s="10">
        <f>IF('Prof Triangle'!C4&gt;0,'Prof Triangle'!D4/'Prof Triangle'!C4,"")</f>
        <v/>
      </c>
      <c r="D4" s="10">
        <f>IF('Prof Triangle'!D4&gt;0,'Prof Triangle'!E4/'Prof Triangle'!D4,"")</f>
        <v/>
      </c>
      <c r="E4" s="10">
        <f>IF('Prof Triangle'!E4&gt;0,'Prof Triangle'!F4/'Prof Triangle'!E4,"")</f>
        <v/>
      </c>
      <c r="F4" s="10">
        <f>IF('Prof Triangle'!F4&gt;0,'Prof Triangle'!G4/'Prof Triangle'!F4,"")</f>
        <v/>
      </c>
      <c r="G4" s="10">
        <f>IF('Prof Triangle'!G4&gt;0,'Prof Triangle'!H4/'Prof Triangle'!G4,"")</f>
        <v/>
      </c>
      <c r="H4" s="10">
        <f>IF('Prof Triangle'!H4&gt;0,'Prof Triangle'!I4/'Prof Triangle'!H4,"")</f>
        <v/>
      </c>
      <c r="I4" s="10">
        <f>IF('Prof Triangle'!I4&gt;0,'Prof Triangle'!J4/'Prof Triangle'!I4,"")</f>
        <v/>
      </c>
      <c r="J4" s="10">
        <f>IF('Prof Triangle'!J4&gt;0,'Prof Triangle'!K4/'Prof Triangle'!J4,"")</f>
        <v/>
      </c>
      <c r="K4" s="10">
        <f>IF('Prof Triangle'!K4&gt;0,'Prof Triangle'!L4/'Prof Triangle'!K4,"")</f>
        <v/>
      </c>
      <c r="L4" s="10">
        <f>IF('Prof Triangle'!L4&gt;0,'Prof Triangle'!M4/'Prof Triangle'!L4,"")</f>
        <v/>
      </c>
      <c r="M4" s="10">
        <f>IF('Prof Triangle'!M4&gt;0,'Prof Triangle'!N4/'Prof Triangle'!M4,"")</f>
        <v/>
      </c>
      <c r="N4" s="10">
        <f>IF('Prof Triangle'!N4&gt;0,'Prof Triangle'!O4/'Prof Triangle'!N4,"")</f>
        <v/>
      </c>
      <c r="O4" s="10">
        <f>IF('Prof Triangle'!O4&gt;0,'Prof Triangle'!P4/'Prof Triangle'!O4,"")</f>
        <v/>
      </c>
      <c r="P4" s="10">
        <f>IF('Prof Triangle'!P4&gt;0,'Prof Triangle'!Q4/'Prof Triangle'!P4,"")</f>
        <v/>
      </c>
      <c r="Q4" s="10">
        <f>IF('Prof Triangle'!Q4&gt;0,'Prof Triangle'!R4/'Prof Triangle'!Q4,"")</f>
        <v/>
      </c>
      <c r="R4" s="10">
        <f>IF('Prof Triangle'!R4&gt;0,'Prof Triangle'!S4/'Prof Triangle'!R4,"")</f>
        <v/>
      </c>
      <c r="S4" s="10">
        <f>IF('Prof Triangle'!S4&gt;0,'Prof Triangle'!T4/'Prof Triangle'!S4,"")</f>
        <v/>
      </c>
      <c r="T4" s="10">
        <f>IF('Prof Triangle'!T4&gt;0,'Prof Triangle'!U4/'Prof Triangle'!T4,"")</f>
        <v/>
      </c>
      <c r="U4" s="10">
        <f>IF('Prof Triangle'!U4&gt;0,'Prof Triangle'!V4/'Prof Triangle'!U4,"")</f>
        <v/>
      </c>
      <c r="V4" s="10">
        <f>IF('Prof Triangle'!V4&gt;0,'Prof Triangle'!W4/'Prof Triangle'!V4,"")</f>
        <v/>
      </c>
      <c r="W4" s="10">
        <f>IF('Prof Triangle'!W4&gt;0,'Prof Triangle'!X4/'Prof Triangle'!W4,"")</f>
        <v/>
      </c>
      <c r="X4" s="10">
        <f>IF('Prof Triangle'!X4&gt;0,'Prof Triangle'!Y4/'Prof Triangle'!X4,"")</f>
        <v/>
      </c>
      <c r="Y4" s="10">
        <f>IF('Prof Triangle'!Y4&gt;0,'Prof Triangle'!Z4/'Prof Triangle'!Y4,"")</f>
        <v/>
      </c>
      <c r="Z4" s="10">
        <f>IF('Prof Triangle'!Z4&gt;0,'Prof Triangle'!AA4/'Prof Triangle'!Z4,"")</f>
        <v/>
      </c>
      <c r="AA4" s="10">
        <f>IF('Prof Triangle'!AA4&gt;0,'Prof Triangle'!AB4/'Prof Triangle'!AA4,"")</f>
        <v/>
      </c>
      <c r="AB4" s="10">
        <f>IF('Prof Triangle'!AB4&gt;0,'Prof Triangle'!AC4/'Prof Triangle'!AB4,"")</f>
        <v/>
      </c>
      <c r="AC4" s="10">
        <f>IF('Prof Triangle'!AC4&gt;0,'Prof Triangle'!AD4/'Prof Triangle'!AC4,"")</f>
        <v/>
      </c>
      <c r="AD4" s="10">
        <f>IF('Prof Triangle'!AD4&gt;0,'Prof Triangle'!AE4/'Prof Triangle'!AD4,"")</f>
        <v/>
      </c>
      <c r="AE4" s="10">
        <f>IF('Prof Triangle'!AE4&gt;0,'Prof Triangle'!AF4/'Prof Triangle'!AE4,"")</f>
        <v/>
      </c>
      <c r="AF4" s="10">
        <f>IF('Prof Triangle'!AF4&gt;0,'Prof Triangle'!AG4/'Prof Triangle'!AF4,"")</f>
        <v/>
      </c>
      <c r="AG4" s="10">
        <f>IF('Prof Triangle'!AG4&gt;0,'Prof Triangle'!AH4/'Prof Triangle'!AG4,"")</f>
        <v/>
      </c>
      <c r="AH4" s="10">
        <f>IF('Prof Triangle'!AH4&gt;0,'Prof Triangle'!AI4/'Prof Triangle'!AH4,"")</f>
        <v/>
      </c>
      <c r="AI4" s="10">
        <f>IF('Prof Triangle'!AI4&gt;0,'Prof Triangle'!AJ4/'Prof Triangle'!AI4,"")</f>
        <v/>
      </c>
      <c r="AJ4" s="10">
        <f>IF('Prof Triangle'!AJ4&gt;0,'Prof Triangle'!AK4/'Prof Triangle'!AJ4,"")</f>
        <v/>
      </c>
      <c r="AK4" s="10">
        <f>IF('Prof Triangle'!AK4&gt;0,'Prof Triangle'!AL4/'Prof Triangle'!AK4,"")</f>
        <v/>
      </c>
      <c r="AL4" s="10">
        <f>IF('Prof Triangle'!AL4&gt;0,'Prof Triangle'!AM4/'Prof Triangle'!AL4,"")</f>
        <v/>
      </c>
      <c r="AM4" s="10">
        <f>IF('Prof Triangle'!AM4&gt;0,'Prof Triangle'!AN4/'Prof Triangle'!AM4,"")</f>
        <v/>
      </c>
      <c r="AN4" s="11">
        <f>IF('Prof Triangle'!AN4&gt;0,'Prof Triangle'!AO4/'Prof Triangle'!AN4,"")</f>
        <v/>
      </c>
      <c r="AO4" s="11">
        <f>IF('Prof Triangle'!AO4&gt;0,'Prof Triangle'!AP4/'Prof Triangle'!AO4,"")</f>
        <v/>
      </c>
      <c r="AP4" s="10">
        <f>IF('Prof Triangle'!AP4&gt;0,'Prof Triangle'!AQ4/'Prof Triangle'!AP4,"")</f>
        <v/>
      </c>
      <c r="AQ4" s="10">
        <f>IF('Prof Triangle'!AQ4&gt;0,'Prof Triangle'!AR4/'Prof Triangle'!AQ4,"")</f>
        <v/>
      </c>
    </row>
    <row r="5">
      <c r="A5" s="6" t="inlineStr">
        <is>
          <t>2023-04</t>
        </is>
      </c>
      <c r="B5" s="10">
        <f>IF('Prof Triangle'!B5&gt;0,'Prof Triangle'!C5/'Prof Triangle'!B5,"")</f>
        <v/>
      </c>
      <c r="C5" s="10">
        <f>IF('Prof Triangle'!C5&gt;0,'Prof Triangle'!D5/'Prof Triangle'!C5,"")</f>
        <v/>
      </c>
      <c r="D5" s="10">
        <f>IF('Prof Triangle'!D5&gt;0,'Prof Triangle'!E5/'Prof Triangle'!D5,"")</f>
        <v/>
      </c>
      <c r="E5" s="10">
        <f>IF('Prof Triangle'!E5&gt;0,'Prof Triangle'!F5/'Prof Triangle'!E5,"")</f>
        <v/>
      </c>
      <c r="F5" s="10">
        <f>IF('Prof Triangle'!F5&gt;0,'Prof Triangle'!G5/'Prof Triangle'!F5,"")</f>
        <v/>
      </c>
      <c r="G5" s="10">
        <f>IF('Prof Triangle'!G5&gt;0,'Prof Triangle'!H5/'Prof Triangle'!G5,"")</f>
        <v/>
      </c>
      <c r="H5" s="10">
        <f>IF('Prof Triangle'!H5&gt;0,'Prof Triangle'!I5/'Prof Triangle'!H5,"")</f>
        <v/>
      </c>
      <c r="I5" s="10">
        <f>IF('Prof Triangle'!I5&gt;0,'Prof Triangle'!J5/'Prof Triangle'!I5,"")</f>
        <v/>
      </c>
      <c r="J5" s="10">
        <f>IF('Prof Triangle'!J5&gt;0,'Prof Triangle'!K5/'Prof Triangle'!J5,"")</f>
        <v/>
      </c>
      <c r="K5" s="10">
        <f>IF('Prof Triangle'!K5&gt;0,'Prof Triangle'!L5/'Prof Triangle'!K5,"")</f>
        <v/>
      </c>
      <c r="L5" s="10">
        <f>IF('Prof Triangle'!L5&gt;0,'Prof Triangle'!M5/'Prof Triangle'!L5,"")</f>
        <v/>
      </c>
      <c r="M5" s="10">
        <f>IF('Prof Triangle'!M5&gt;0,'Prof Triangle'!N5/'Prof Triangle'!M5,"")</f>
        <v/>
      </c>
      <c r="N5" s="10">
        <f>IF('Prof Triangle'!N5&gt;0,'Prof Triangle'!O5/'Prof Triangle'!N5,"")</f>
        <v/>
      </c>
      <c r="O5" s="10">
        <f>IF('Prof Triangle'!O5&gt;0,'Prof Triangle'!P5/'Prof Triangle'!O5,"")</f>
        <v/>
      </c>
      <c r="P5" s="10">
        <f>IF('Prof Triangle'!P5&gt;0,'Prof Triangle'!Q5/'Prof Triangle'!P5,"")</f>
        <v/>
      </c>
      <c r="Q5" s="10">
        <f>IF('Prof Triangle'!Q5&gt;0,'Prof Triangle'!R5/'Prof Triangle'!Q5,"")</f>
        <v/>
      </c>
      <c r="R5" s="10">
        <f>IF('Prof Triangle'!R5&gt;0,'Prof Triangle'!S5/'Prof Triangle'!R5,"")</f>
        <v/>
      </c>
      <c r="S5" s="10">
        <f>IF('Prof Triangle'!S5&gt;0,'Prof Triangle'!T5/'Prof Triangle'!S5,"")</f>
        <v/>
      </c>
      <c r="T5" s="10">
        <f>IF('Prof Triangle'!T5&gt;0,'Prof Triangle'!U5/'Prof Triangle'!T5,"")</f>
        <v/>
      </c>
      <c r="U5" s="10">
        <f>IF('Prof Triangle'!U5&gt;0,'Prof Triangle'!V5/'Prof Triangle'!U5,"")</f>
        <v/>
      </c>
      <c r="V5" s="10">
        <f>IF('Prof Triangle'!V5&gt;0,'Prof Triangle'!W5/'Prof Triangle'!V5,"")</f>
        <v/>
      </c>
      <c r="W5" s="10">
        <f>IF('Prof Triangle'!W5&gt;0,'Prof Triangle'!X5/'Prof Triangle'!W5,"")</f>
        <v/>
      </c>
      <c r="X5" s="10">
        <f>IF('Prof Triangle'!X5&gt;0,'Prof Triangle'!Y5/'Prof Triangle'!X5,"")</f>
        <v/>
      </c>
      <c r="Y5" s="10">
        <f>IF('Prof Triangle'!Y5&gt;0,'Prof Triangle'!Z5/'Prof Triangle'!Y5,"")</f>
        <v/>
      </c>
      <c r="Z5" s="10">
        <f>IF('Prof Triangle'!Z5&gt;0,'Prof Triangle'!AA5/'Prof Triangle'!Z5,"")</f>
        <v/>
      </c>
      <c r="AA5" s="10">
        <f>IF('Prof Triangle'!AA5&gt;0,'Prof Triangle'!AB5/'Prof Triangle'!AA5,"")</f>
        <v/>
      </c>
      <c r="AB5" s="10">
        <f>IF('Prof Triangle'!AB5&gt;0,'Prof Triangle'!AC5/'Prof Triangle'!AB5,"")</f>
        <v/>
      </c>
      <c r="AC5" s="10">
        <f>IF('Prof Triangle'!AC5&gt;0,'Prof Triangle'!AD5/'Prof Triangle'!AC5,"")</f>
        <v/>
      </c>
      <c r="AD5" s="10">
        <f>IF('Prof Triangle'!AD5&gt;0,'Prof Triangle'!AE5/'Prof Triangle'!AD5,"")</f>
        <v/>
      </c>
      <c r="AE5" s="10">
        <f>IF('Prof Triangle'!AE5&gt;0,'Prof Triangle'!AF5/'Prof Triangle'!AE5,"")</f>
        <v/>
      </c>
      <c r="AF5" s="10">
        <f>IF('Prof Triangle'!AF5&gt;0,'Prof Triangle'!AG5/'Prof Triangle'!AF5,"")</f>
        <v/>
      </c>
      <c r="AG5" s="10">
        <f>IF('Prof Triangle'!AG5&gt;0,'Prof Triangle'!AH5/'Prof Triangle'!AG5,"")</f>
        <v/>
      </c>
      <c r="AH5" s="10">
        <f>IF('Prof Triangle'!AH5&gt;0,'Prof Triangle'!AI5/'Prof Triangle'!AH5,"")</f>
        <v/>
      </c>
      <c r="AI5" s="10">
        <f>IF('Prof Triangle'!AI5&gt;0,'Prof Triangle'!AJ5/'Prof Triangle'!AI5,"")</f>
        <v/>
      </c>
      <c r="AJ5" s="10">
        <f>IF('Prof Triangle'!AJ5&gt;0,'Prof Triangle'!AK5/'Prof Triangle'!AJ5,"")</f>
        <v/>
      </c>
      <c r="AK5" s="10">
        <f>IF('Prof Triangle'!AK5&gt;0,'Prof Triangle'!AL5/'Prof Triangle'!AK5,"")</f>
        <v/>
      </c>
      <c r="AL5" s="10">
        <f>IF('Prof Triangle'!AL5&gt;0,'Prof Triangle'!AM5/'Prof Triangle'!AL5,"")</f>
        <v/>
      </c>
      <c r="AM5" s="11">
        <f>IF('Prof Triangle'!AM5&gt;0,'Prof Triangle'!AN5/'Prof Triangle'!AM5,"")</f>
        <v/>
      </c>
      <c r="AN5" s="11">
        <f>IF('Prof Triangle'!AN5&gt;0,'Prof Triangle'!AO5/'Prof Triangle'!AN5,"")</f>
        <v/>
      </c>
      <c r="AO5" s="10">
        <f>IF('Prof Triangle'!AO5&gt;0,'Prof Triangle'!AP5/'Prof Triangle'!AO5,"")</f>
        <v/>
      </c>
      <c r="AP5" s="10">
        <f>IF('Prof Triangle'!AP5&gt;0,'Prof Triangle'!AQ5/'Prof Triangle'!AP5,"")</f>
        <v/>
      </c>
    </row>
    <row r="6">
      <c r="A6" s="6" t="inlineStr">
        <is>
          <t>2023-05</t>
        </is>
      </c>
      <c r="B6" s="10">
        <f>IF('Prof Triangle'!B6&gt;0,'Prof Triangle'!C6/'Prof Triangle'!B6,"")</f>
        <v/>
      </c>
      <c r="C6" s="10">
        <f>IF('Prof Triangle'!C6&gt;0,'Prof Triangle'!D6/'Prof Triangle'!C6,"")</f>
        <v/>
      </c>
      <c r="D6" s="10">
        <f>IF('Prof Triangle'!D6&gt;0,'Prof Triangle'!E6/'Prof Triangle'!D6,"")</f>
        <v/>
      </c>
      <c r="E6" s="10">
        <f>IF('Prof Triangle'!E6&gt;0,'Prof Triangle'!F6/'Prof Triangle'!E6,"")</f>
        <v/>
      </c>
      <c r="F6" s="10">
        <f>IF('Prof Triangle'!F6&gt;0,'Prof Triangle'!G6/'Prof Triangle'!F6,"")</f>
        <v/>
      </c>
      <c r="G6" s="10">
        <f>IF('Prof Triangle'!G6&gt;0,'Prof Triangle'!H6/'Prof Triangle'!G6,"")</f>
        <v/>
      </c>
      <c r="H6" s="10">
        <f>IF('Prof Triangle'!H6&gt;0,'Prof Triangle'!I6/'Prof Triangle'!H6,"")</f>
        <v/>
      </c>
      <c r="I6" s="10">
        <f>IF('Prof Triangle'!I6&gt;0,'Prof Triangle'!J6/'Prof Triangle'!I6,"")</f>
        <v/>
      </c>
      <c r="J6" s="10">
        <f>IF('Prof Triangle'!J6&gt;0,'Prof Triangle'!K6/'Prof Triangle'!J6,"")</f>
        <v/>
      </c>
      <c r="K6" s="10">
        <f>IF('Prof Triangle'!K6&gt;0,'Prof Triangle'!L6/'Prof Triangle'!K6,"")</f>
        <v/>
      </c>
      <c r="L6" s="10">
        <f>IF('Prof Triangle'!L6&gt;0,'Prof Triangle'!M6/'Prof Triangle'!L6,"")</f>
        <v/>
      </c>
      <c r="M6" s="10">
        <f>IF('Prof Triangle'!M6&gt;0,'Prof Triangle'!N6/'Prof Triangle'!M6,"")</f>
        <v/>
      </c>
      <c r="N6" s="10">
        <f>IF('Prof Triangle'!N6&gt;0,'Prof Triangle'!O6/'Prof Triangle'!N6,"")</f>
        <v/>
      </c>
      <c r="O6" s="10">
        <f>IF('Prof Triangle'!O6&gt;0,'Prof Triangle'!P6/'Prof Triangle'!O6,"")</f>
        <v/>
      </c>
      <c r="P6" s="10">
        <f>IF('Prof Triangle'!P6&gt;0,'Prof Triangle'!Q6/'Prof Triangle'!P6,"")</f>
        <v/>
      </c>
      <c r="Q6" s="10">
        <f>IF('Prof Triangle'!Q6&gt;0,'Prof Triangle'!R6/'Prof Triangle'!Q6,"")</f>
        <v/>
      </c>
      <c r="R6" s="10">
        <f>IF('Prof Triangle'!R6&gt;0,'Prof Triangle'!S6/'Prof Triangle'!R6,"")</f>
        <v/>
      </c>
      <c r="S6" s="10">
        <f>IF('Prof Triangle'!S6&gt;0,'Prof Triangle'!T6/'Prof Triangle'!S6,"")</f>
        <v/>
      </c>
      <c r="T6" s="10">
        <f>IF('Prof Triangle'!T6&gt;0,'Prof Triangle'!U6/'Prof Triangle'!T6,"")</f>
        <v/>
      </c>
      <c r="U6" s="10">
        <f>IF('Prof Triangle'!U6&gt;0,'Prof Triangle'!V6/'Prof Triangle'!U6,"")</f>
        <v/>
      </c>
      <c r="V6" s="10">
        <f>IF('Prof Triangle'!V6&gt;0,'Prof Triangle'!W6/'Prof Triangle'!V6,"")</f>
        <v/>
      </c>
      <c r="W6" s="10">
        <f>IF('Prof Triangle'!W6&gt;0,'Prof Triangle'!X6/'Prof Triangle'!W6,"")</f>
        <v/>
      </c>
      <c r="X6" s="10">
        <f>IF('Prof Triangle'!X6&gt;0,'Prof Triangle'!Y6/'Prof Triangle'!X6,"")</f>
        <v/>
      </c>
      <c r="Y6" s="10">
        <f>IF('Prof Triangle'!Y6&gt;0,'Prof Triangle'!Z6/'Prof Triangle'!Y6,"")</f>
        <v/>
      </c>
      <c r="Z6" s="10">
        <f>IF('Prof Triangle'!Z6&gt;0,'Prof Triangle'!AA6/'Prof Triangle'!Z6,"")</f>
        <v/>
      </c>
      <c r="AA6" s="10">
        <f>IF('Prof Triangle'!AA6&gt;0,'Prof Triangle'!AB6/'Prof Triangle'!AA6,"")</f>
        <v/>
      </c>
      <c r="AB6" s="10">
        <f>IF('Prof Triangle'!AB6&gt;0,'Prof Triangle'!AC6/'Prof Triangle'!AB6,"")</f>
        <v/>
      </c>
      <c r="AC6" s="10">
        <f>IF('Prof Triangle'!AC6&gt;0,'Prof Triangle'!AD6/'Prof Triangle'!AC6,"")</f>
        <v/>
      </c>
      <c r="AD6" s="10">
        <f>IF('Prof Triangle'!AD6&gt;0,'Prof Triangle'!AE6/'Prof Triangle'!AD6,"")</f>
        <v/>
      </c>
      <c r="AE6" s="10">
        <f>IF('Prof Triangle'!AE6&gt;0,'Prof Triangle'!AF6/'Prof Triangle'!AE6,"")</f>
        <v/>
      </c>
      <c r="AF6" s="10">
        <f>IF('Prof Triangle'!AF6&gt;0,'Prof Triangle'!AG6/'Prof Triangle'!AF6,"")</f>
        <v/>
      </c>
      <c r="AG6" s="10">
        <f>IF('Prof Triangle'!AG6&gt;0,'Prof Triangle'!AH6/'Prof Triangle'!AG6,"")</f>
        <v/>
      </c>
      <c r="AH6" s="10">
        <f>IF('Prof Triangle'!AH6&gt;0,'Prof Triangle'!AI6/'Prof Triangle'!AH6,"")</f>
        <v/>
      </c>
      <c r="AI6" s="10">
        <f>IF('Prof Triangle'!AI6&gt;0,'Prof Triangle'!AJ6/'Prof Triangle'!AI6,"")</f>
        <v/>
      </c>
      <c r="AJ6" s="10">
        <f>IF('Prof Triangle'!AJ6&gt;0,'Prof Triangle'!AK6/'Prof Triangle'!AJ6,"")</f>
        <v/>
      </c>
      <c r="AK6" s="10">
        <f>IF('Prof Triangle'!AK6&gt;0,'Prof Triangle'!AL6/'Prof Triangle'!AK6,"")</f>
        <v/>
      </c>
      <c r="AL6" s="11">
        <f>IF('Prof Triangle'!AL6&gt;0,'Prof Triangle'!AM6/'Prof Triangle'!AL6,"")</f>
        <v/>
      </c>
      <c r="AM6" s="11">
        <f>IF('Prof Triangle'!AM6&gt;0,'Prof Triangle'!AN6/'Prof Triangle'!AM6,"")</f>
        <v/>
      </c>
      <c r="AN6" s="10">
        <f>IF('Prof Triangle'!AN6&gt;0,'Prof Triangle'!AO6/'Prof Triangle'!AN6,"")</f>
        <v/>
      </c>
      <c r="AO6" s="10">
        <f>IF('Prof Triangle'!AO6&gt;0,'Prof Triangle'!AP6/'Prof Triangle'!AO6,"")</f>
        <v/>
      </c>
    </row>
    <row r="7">
      <c r="A7" s="6" t="inlineStr">
        <is>
          <t>2023-06</t>
        </is>
      </c>
      <c r="B7" s="10">
        <f>IF('Prof Triangle'!B7&gt;0,'Prof Triangle'!C7/'Prof Triangle'!B7,"")</f>
        <v/>
      </c>
      <c r="C7" s="10">
        <f>IF('Prof Triangle'!C7&gt;0,'Prof Triangle'!D7/'Prof Triangle'!C7,"")</f>
        <v/>
      </c>
      <c r="D7" s="10">
        <f>IF('Prof Triangle'!D7&gt;0,'Prof Triangle'!E7/'Prof Triangle'!D7,"")</f>
        <v/>
      </c>
      <c r="E7" s="10">
        <f>IF('Prof Triangle'!E7&gt;0,'Prof Triangle'!F7/'Prof Triangle'!E7,"")</f>
        <v/>
      </c>
      <c r="F7" s="10">
        <f>IF('Prof Triangle'!F7&gt;0,'Prof Triangle'!G7/'Prof Triangle'!F7,"")</f>
        <v/>
      </c>
      <c r="G7" s="10">
        <f>IF('Prof Triangle'!G7&gt;0,'Prof Triangle'!H7/'Prof Triangle'!G7,"")</f>
        <v/>
      </c>
      <c r="H7" s="10">
        <f>IF('Prof Triangle'!H7&gt;0,'Prof Triangle'!I7/'Prof Triangle'!H7,"")</f>
        <v/>
      </c>
      <c r="I7" s="10">
        <f>IF('Prof Triangle'!I7&gt;0,'Prof Triangle'!J7/'Prof Triangle'!I7,"")</f>
        <v/>
      </c>
      <c r="J7" s="10">
        <f>IF('Prof Triangle'!J7&gt;0,'Prof Triangle'!K7/'Prof Triangle'!J7,"")</f>
        <v/>
      </c>
      <c r="K7" s="10">
        <f>IF('Prof Triangle'!K7&gt;0,'Prof Triangle'!L7/'Prof Triangle'!K7,"")</f>
        <v/>
      </c>
      <c r="L7" s="10">
        <f>IF('Prof Triangle'!L7&gt;0,'Prof Triangle'!M7/'Prof Triangle'!L7,"")</f>
        <v/>
      </c>
      <c r="M7" s="10">
        <f>IF('Prof Triangle'!M7&gt;0,'Prof Triangle'!N7/'Prof Triangle'!M7,"")</f>
        <v/>
      </c>
      <c r="N7" s="10">
        <f>IF('Prof Triangle'!N7&gt;0,'Prof Triangle'!O7/'Prof Triangle'!N7,"")</f>
        <v/>
      </c>
      <c r="O7" s="10">
        <f>IF('Prof Triangle'!O7&gt;0,'Prof Triangle'!P7/'Prof Triangle'!O7,"")</f>
        <v/>
      </c>
      <c r="P7" s="10">
        <f>IF('Prof Triangle'!P7&gt;0,'Prof Triangle'!Q7/'Prof Triangle'!P7,"")</f>
        <v/>
      </c>
      <c r="Q7" s="10">
        <f>IF('Prof Triangle'!Q7&gt;0,'Prof Triangle'!R7/'Prof Triangle'!Q7,"")</f>
        <v/>
      </c>
      <c r="R7" s="10">
        <f>IF('Prof Triangle'!R7&gt;0,'Prof Triangle'!S7/'Prof Triangle'!R7,"")</f>
        <v/>
      </c>
      <c r="S7" s="10">
        <f>IF('Prof Triangle'!S7&gt;0,'Prof Triangle'!T7/'Prof Triangle'!S7,"")</f>
        <v/>
      </c>
      <c r="T7" s="10">
        <f>IF('Prof Triangle'!T7&gt;0,'Prof Triangle'!U7/'Prof Triangle'!T7,"")</f>
        <v/>
      </c>
      <c r="U7" s="10">
        <f>IF('Prof Triangle'!U7&gt;0,'Prof Triangle'!V7/'Prof Triangle'!U7,"")</f>
        <v/>
      </c>
      <c r="V7" s="10">
        <f>IF('Prof Triangle'!V7&gt;0,'Prof Triangle'!W7/'Prof Triangle'!V7,"")</f>
        <v/>
      </c>
      <c r="W7" s="10">
        <f>IF('Prof Triangle'!W7&gt;0,'Prof Triangle'!X7/'Prof Triangle'!W7,"")</f>
        <v/>
      </c>
      <c r="X7" s="10">
        <f>IF('Prof Triangle'!X7&gt;0,'Prof Triangle'!Y7/'Prof Triangle'!X7,"")</f>
        <v/>
      </c>
      <c r="Y7" s="10">
        <f>IF('Prof Triangle'!Y7&gt;0,'Prof Triangle'!Z7/'Prof Triangle'!Y7,"")</f>
        <v/>
      </c>
      <c r="Z7" s="10">
        <f>IF('Prof Triangle'!Z7&gt;0,'Prof Triangle'!AA7/'Prof Triangle'!Z7,"")</f>
        <v/>
      </c>
      <c r="AA7" s="10">
        <f>IF('Prof Triangle'!AA7&gt;0,'Prof Triangle'!AB7/'Prof Triangle'!AA7,"")</f>
        <v/>
      </c>
      <c r="AB7" s="10">
        <f>IF('Prof Triangle'!AB7&gt;0,'Prof Triangle'!AC7/'Prof Triangle'!AB7,"")</f>
        <v/>
      </c>
      <c r="AC7" s="10">
        <f>IF('Prof Triangle'!AC7&gt;0,'Prof Triangle'!AD7/'Prof Triangle'!AC7,"")</f>
        <v/>
      </c>
      <c r="AD7" s="10">
        <f>IF('Prof Triangle'!AD7&gt;0,'Prof Triangle'!AE7/'Prof Triangle'!AD7,"")</f>
        <v/>
      </c>
      <c r="AE7" s="10">
        <f>IF('Prof Triangle'!AE7&gt;0,'Prof Triangle'!AF7/'Prof Triangle'!AE7,"")</f>
        <v/>
      </c>
      <c r="AF7" s="10">
        <f>IF('Prof Triangle'!AF7&gt;0,'Prof Triangle'!AG7/'Prof Triangle'!AF7,"")</f>
        <v/>
      </c>
      <c r="AG7" s="10">
        <f>IF('Prof Triangle'!AG7&gt;0,'Prof Triangle'!AH7/'Prof Triangle'!AG7,"")</f>
        <v/>
      </c>
      <c r="AH7" s="10">
        <f>IF('Prof Triangle'!AH7&gt;0,'Prof Triangle'!AI7/'Prof Triangle'!AH7,"")</f>
        <v/>
      </c>
      <c r="AI7" s="10">
        <f>IF('Prof Triangle'!AI7&gt;0,'Prof Triangle'!AJ7/'Prof Triangle'!AI7,"")</f>
        <v/>
      </c>
      <c r="AJ7" s="10">
        <f>IF('Prof Triangle'!AJ7&gt;0,'Prof Triangle'!AK7/'Prof Triangle'!AJ7,"")</f>
        <v/>
      </c>
      <c r="AK7" s="11">
        <f>IF('Prof Triangle'!AK7&gt;0,'Prof Triangle'!AL7/'Prof Triangle'!AK7,"")</f>
        <v/>
      </c>
      <c r="AL7" s="11">
        <f>IF('Prof Triangle'!AL7&gt;0,'Prof Triangle'!AM7/'Prof Triangle'!AL7,"")</f>
        <v/>
      </c>
      <c r="AM7" s="10">
        <f>IF('Prof Triangle'!AM7&gt;0,'Prof Triangle'!AN7/'Prof Triangle'!AM7,"")</f>
        <v/>
      </c>
      <c r="AN7" s="10">
        <f>IF('Prof Triangle'!AN7&gt;0,'Prof Triangle'!AO7/'Prof Triangle'!AN7,"")</f>
        <v/>
      </c>
    </row>
    <row r="8">
      <c r="A8" s="6" t="inlineStr">
        <is>
          <t>2023-07</t>
        </is>
      </c>
      <c r="B8" s="10">
        <f>IF('Prof Triangle'!B8&gt;0,'Prof Triangle'!C8/'Prof Triangle'!B8,"")</f>
        <v/>
      </c>
      <c r="C8" s="10">
        <f>IF('Prof Triangle'!C8&gt;0,'Prof Triangle'!D8/'Prof Triangle'!C8,"")</f>
        <v/>
      </c>
      <c r="D8" s="10">
        <f>IF('Prof Triangle'!D8&gt;0,'Prof Triangle'!E8/'Prof Triangle'!D8,"")</f>
        <v/>
      </c>
      <c r="E8" s="10">
        <f>IF('Prof Triangle'!E8&gt;0,'Prof Triangle'!F8/'Prof Triangle'!E8,"")</f>
        <v/>
      </c>
      <c r="F8" s="10">
        <f>IF('Prof Triangle'!F8&gt;0,'Prof Triangle'!G8/'Prof Triangle'!F8,"")</f>
        <v/>
      </c>
      <c r="G8" s="10">
        <f>IF('Prof Triangle'!G8&gt;0,'Prof Triangle'!H8/'Prof Triangle'!G8,"")</f>
        <v/>
      </c>
      <c r="H8" s="10">
        <f>IF('Prof Triangle'!H8&gt;0,'Prof Triangle'!I8/'Prof Triangle'!H8,"")</f>
        <v/>
      </c>
      <c r="I8" s="10">
        <f>IF('Prof Triangle'!I8&gt;0,'Prof Triangle'!J8/'Prof Triangle'!I8,"")</f>
        <v/>
      </c>
      <c r="J8" s="10">
        <f>IF('Prof Triangle'!J8&gt;0,'Prof Triangle'!K8/'Prof Triangle'!J8,"")</f>
        <v/>
      </c>
      <c r="K8" s="10">
        <f>IF('Prof Triangle'!K8&gt;0,'Prof Triangle'!L8/'Prof Triangle'!K8,"")</f>
        <v/>
      </c>
      <c r="L8" s="10">
        <f>IF('Prof Triangle'!L8&gt;0,'Prof Triangle'!M8/'Prof Triangle'!L8,"")</f>
        <v/>
      </c>
      <c r="M8" s="10">
        <f>IF('Prof Triangle'!M8&gt;0,'Prof Triangle'!N8/'Prof Triangle'!M8,"")</f>
        <v/>
      </c>
      <c r="N8" s="10">
        <f>IF('Prof Triangle'!N8&gt;0,'Prof Triangle'!O8/'Prof Triangle'!N8,"")</f>
        <v/>
      </c>
      <c r="O8" s="10">
        <f>IF('Prof Triangle'!O8&gt;0,'Prof Triangle'!P8/'Prof Triangle'!O8,"")</f>
        <v/>
      </c>
      <c r="P8" s="10">
        <f>IF('Prof Triangle'!P8&gt;0,'Prof Triangle'!Q8/'Prof Triangle'!P8,"")</f>
        <v/>
      </c>
      <c r="Q8" s="10">
        <f>IF('Prof Triangle'!Q8&gt;0,'Prof Triangle'!R8/'Prof Triangle'!Q8,"")</f>
        <v/>
      </c>
      <c r="R8" s="10">
        <f>IF('Prof Triangle'!R8&gt;0,'Prof Triangle'!S8/'Prof Triangle'!R8,"")</f>
        <v/>
      </c>
      <c r="S8" s="10">
        <f>IF('Prof Triangle'!S8&gt;0,'Prof Triangle'!T8/'Prof Triangle'!S8,"")</f>
        <v/>
      </c>
      <c r="T8" s="10">
        <f>IF('Prof Triangle'!T8&gt;0,'Prof Triangle'!U8/'Prof Triangle'!T8,"")</f>
        <v/>
      </c>
      <c r="U8" s="10">
        <f>IF('Prof Triangle'!U8&gt;0,'Prof Triangle'!V8/'Prof Triangle'!U8,"")</f>
        <v/>
      </c>
      <c r="V8" s="10">
        <f>IF('Prof Triangle'!V8&gt;0,'Prof Triangle'!W8/'Prof Triangle'!V8,"")</f>
        <v/>
      </c>
      <c r="W8" s="10">
        <f>IF('Prof Triangle'!W8&gt;0,'Prof Triangle'!X8/'Prof Triangle'!W8,"")</f>
        <v/>
      </c>
      <c r="X8" s="10">
        <f>IF('Prof Triangle'!X8&gt;0,'Prof Triangle'!Y8/'Prof Triangle'!X8,"")</f>
        <v/>
      </c>
      <c r="Y8" s="10">
        <f>IF('Prof Triangle'!Y8&gt;0,'Prof Triangle'!Z8/'Prof Triangle'!Y8,"")</f>
        <v/>
      </c>
      <c r="Z8" s="10">
        <f>IF('Prof Triangle'!Z8&gt;0,'Prof Triangle'!AA8/'Prof Triangle'!Z8,"")</f>
        <v/>
      </c>
      <c r="AA8" s="10">
        <f>IF('Prof Triangle'!AA8&gt;0,'Prof Triangle'!AB8/'Prof Triangle'!AA8,"")</f>
        <v/>
      </c>
      <c r="AB8" s="10">
        <f>IF('Prof Triangle'!AB8&gt;0,'Prof Triangle'!AC8/'Prof Triangle'!AB8,"")</f>
        <v/>
      </c>
      <c r="AC8" s="10">
        <f>IF('Prof Triangle'!AC8&gt;0,'Prof Triangle'!AD8/'Prof Triangle'!AC8,"")</f>
        <v/>
      </c>
      <c r="AD8" s="10">
        <f>IF('Prof Triangle'!AD8&gt;0,'Prof Triangle'!AE8/'Prof Triangle'!AD8,"")</f>
        <v/>
      </c>
      <c r="AE8" s="10">
        <f>IF('Prof Triangle'!AE8&gt;0,'Prof Triangle'!AF8/'Prof Triangle'!AE8,"")</f>
        <v/>
      </c>
      <c r="AF8" s="10">
        <f>IF('Prof Triangle'!AF8&gt;0,'Prof Triangle'!AG8/'Prof Triangle'!AF8,"")</f>
        <v/>
      </c>
      <c r="AG8" s="10">
        <f>IF('Prof Triangle'!AG8&gt;0,'Prof Triangle'!AH8/'Prof Triangle'!AG8,"")</f>
        <v/>
      </c>
      <c r="AH8" s="10">
        <f>IF('Prof Triangle'!AH8&gt;0,'Prof Triangle'!AI8/'Prof Triangle'!AH8,"")</f>
        <v/>
      </c>
      <c r="AI8" s="10">
        <f>IF('Prof Triangle'!AI8&gt;0,'Prof Triangle'!AJ8/'Prof Triangle'!AI8,"")</f>
        <v/>
      </c>
      <c r="AJ8" s="11">
        <f>IF('Prof Triangle'!AJ8&gt;0,'Prof Triangle'!AK8/'Prof Triangle'!AJ8,"")</f>
        <v/>
      </c>
      <c r="AK8" s="11">
        <f>IF('Prof Triangle'!AK8&gt;0,'Prof Triangle'!AL8/'Prof Triangle'!AK8,"")</f>
        <v/>
      </c>
      <c r="AL8" s="10">
        <f>IF('Prof Triangle'!AL8&gt;0,'Prof Triangle'!AM8/'Prof Triangle'!AL8,"")</f>
        <v/>
      </c>
      <c r="AM8" s="10">
        <f>IF('Prof Triangle'!AM8&gt;0,'Prof Triangle'!AN8/'Prof Triangle'!AM8,"")</f>
        <v/>
      </c>
    </row>
    <row r="9">
      <c r="A9" s="6" t="inlineStr">
        <is>
          <t>2023-08</t>
        </is>
      </c>
      <c r="B9" s="10">
        <f>IF('Prof Triangle'!B9&gt;0,'Prof Triangle'!C9/'Prof Triangle'!B9,"")</f>
        <v/>
      </c>
      <c r="C9" s="10">
        <f>IF('Prof Triangle'!C9&gt;0,'Prof Triangle'!D9/'Prof Triangle'!C9,"")</f>
        <v/>
      </c>
      <c r="D9" s="10">
        <f>IF('Prof Triangle'!D9&gt;0,'Prof Triangle'!E9/'Prof Triangle'!D9,"")</f>
        <v/>
      </c>
      <c r="E9" s="10">
        <f>IF('Prof Triangle'!E9&gt;0,'Prof Triangle'!F9/'Prof Triangle'!E9,"")</f>
        <v/>
      </c>
      <c r="F9" s="10">
        <f>IF('Prof Triangle'!F9&gt;0,'Prof Triangle'!G9/'Prof Triangle'!F9,"")</f>
        <v/>
      </c>
      <c r="G9" s="10">
        <f>IF('Prof Triangle'!G9&gt;0,'Prof Triangle'!H9/'Prof Triangle'!G9,"")</f>
        <v/>
      </c>
      <c r="H9" s="10">
        <f>IF('Prof Triangle'!H9&gt;0,'Prof Triangle'!I9/'Prof Triangle'!H9,"")</f>
        <v/>
      </c>
      <c r="I9" s="10">
        <f>IF('Prof Triangle'!I9&gt;0,'Prof Triangle'!J9/'Prof Triangle'!I9,"")</f>
        <v/>
      </c>
      <c r="J9" s="10">
        <f>IF('Prof Triangle'!J9&gt;0,'Prof Triangle'!K9/'Prof Triangle'!J9,"")</f>
        <v/>
      </c>
      <c r="K9" s="10">
        <f>IF('Prof Triangle'!K9&gt;0,'Prof Triangle'!L9/'Prof Triangle'!K9,"")</f>
        <v/>
      </c>
      <c r="L9" s="10">
        <f>IF('Prof Triangle'!L9&gt;0,'Prof Triangle'!M9/'Prof Triangle'!L9,"")</f>
        <v/>
      </c>
      <c r="M9" s="10">
        <f>IF('Prof Triangle'!M9&gt;0,'Prof Triangle'!N9/'Prof Triangle'!M9,"")</f>
        <v/>
      </c>
      <c r="N9" s="10">
        <f>IF('Prof Triangle'!N9&gt;0,'Prof Triangle'!O9/'Prof Triangle'!N9,"")</f>
        <v/>
      </c>
      <c r="O9" s="10">
        <f>IF('Prof Triangle'!O9&gt;0,'Prof Triangle'!P9/'Prof Triangle'!O9,"")</f>
        <v/>
      </c>
      <c r="P9" s="10">
        <f>IF('Prof Triangle'!P9&gt;0,'Prof Triangle'!Q9/'Prof Triangle'!P9,"")</f>
        <v/>
      </c>
      <c r="Q9" s="10">
        <f>IF('Prof Triangle'!Q9&gt;0,'Prof Triangle'!R9/'Prof Triangle'!Q9,"")</f>
        <v/>
      </c>
      <c r="R9" s="10">
        <f>IF('Prof Triangle'!R9&gt;0,'Prof Triangle'!S9/'Prof Triangle'!R9,"")</f>
        <v/>
      </c>
      <c r="S9" s="10">
        <f>IF('Prof Triangle'!S9&gt;0,'Prof Triangle'!T9/'Prof Triangle'!S9,"")</f>
        <v/>
      </c>
      <c r="T9" s="10">
        <f>IF('Prof Triangle'!T9&gt;0,'Prof Triangle'!U9/'Prof Triangle'!T9,"")</f>
        <v/>
      </c>
      <c r="U9" s="10">
        <f>IF('Prof Triangle'!U9&gt;0,'Prof Triangle'!V9/'Prof Triangle'!U9,"")</f>
        <v/>
      </c>
      <c r="V9" s="10">
        <f>IF('Prof Triangle'!V9&gt;0,'Prof Triangle'!W9/'Prof Triangle'!V9,"")</f>
        <v/>
      </c>
      <c r="W9" s="10">
        <f>IF('Prof Triangle'!W9&gt;0,'Prof Triangle'!X9/'Prof Triangle'!W9,"")</f>
        <v/>
      </c>
      <c r="X9" s="10">
        <f>IF('Prof Triangle'!X9&gt;0,'Prof Triangle'!Y9/'Prof Triangle'!X9,"")</f>
        <v/>
      </c>
      <c r="Y9" s="10">
        <f>IF('Prof Triangle'!Y9&gt;0,'Prof Triangle'!Z9/'Prof Triangle'!Y9,"")</f>
        <v/>
      </c>
      <c r="Z9" s="10">
        <f>IF('Prof Triangle'!Z9&gt;0,'Prof Triangle'!AA9/'Prof Triangle'!Z9,"")</f>
        <v/>
      </c>
      <c r="AA9" s="10">
        <f>IF('Prof Triangle'!AA9&gt;0,'Prof Triangle'!AB9/'Prof Triangle'!AA9,"")</f>
        <v/>
      </c>
      <c r="AB9" s="10">
        <f>IF('Prof Triangle'!AB9&gt;0,'Prof Triangle'!AC9/'Prof Triangle'!AB9,"")</f>
        <v/>
      </c>
      <c r="AC9" s="10">
        <f>IF('Prof Triangle'!AC9&gt;0,'Prof Triangle'!AD9/'Prof Triangle'!AC9,"")</f>
        <v/>
      </c>
      <c r="AD9" s="10">
        <f>IF('Prof Triangle'!AD9&gt;0,'Prof Triangle'!AE9/'Prof Triangle'!AD9,"")</f>
        <v/>
      </c>
      <c r="AE9" s="10">
        <f>IF('Prof Triangle'!AE9&gt;0,'Prof Triangle'!AF9/'Prof Triangle'!AE9,"")</f>
        <v/>
      </c>
      <c r="AF9" s="10">
        <f>IF('Prof Triangle'!AF9&gt;0,'Prof Triangle'!AG9/'Prof Triangle'!AF9,"")</f>
        <v/>
      </c>
      <c r="AG9" s="10">
        <f>IF('Prof Triangle'!AG9&gt;0,'Prof Triangle'!AH9/'Prof Triangle'!AG9,"")</f>
        <v/>
      </c>
      <c r="AH9" s="10">
        <f>IF('Prof Triangle'!AH9&gt;0,'Prof Triangle'!AI9/'Prof Triangle'!AH9,"")</f>
        <v/>
      </c>
      <c r="AI9" s="11">
        <f>IF('Prof Triangle'!AI9&gt;0,'Prof Triangle'!AJ9/'Prof Triangle'!AI9,"")</f>
        <v/>
      </c>
      <c r="AJ9" s="11">
        <f>IF('Prof Triangle'!AJ9&gt;0,'Prof Triangle'!AK9/'Prof Triangle'!AJ9,"")</f>
        <v/>
      </c>
      <c r="AK9" s="10">
        <f>IF('Prof Triangle'!AK9&gt;0,'Prof Triangle'!AL9/'Prof Triangle'!AK9,"")</f>
        <v/>
      </c>
      <c r="AL9" s="10">
        <f>IF('Prof Triangle'!AL9&gt;0,'Prof Triangle'!AM9/'Prof Triangle'!AL9,"")</f>
        <v/>
      </c>
    </row>
    <row r="10">
      <c r="A10" s="6" t="inlineStr">
        <is>
          <t>2023-09</t>
        </is>
      </c>
      <c r="B10" s="10">
        <f>IF('Prof Triangle'!B10&gt;0,'Prof Triangle'!C10/'Prof Triangle'!B10,"")</f>
        <v/>
      </c>
      <c r="C10" s="10">
        <f>IF('Prof Triangle'!C10&gt;0,'Prof Triangle'!D10/'Prof Triangle'!C10,"")</f>
        <v/>
      </c>
      <c r="D10" s="10">
        <f>IF('Prof Triangle'!D10&gt;0,'Prof Triangle'!E10/'Prof Triangle'!D10,"")</f>
        <v/>
      </c>
      <c r="E10" s="10">
        <f>IF('Prof Triangle'!E10&gt;0,'Prof Triangle'!F10/'Prof Triangle'!E10,"")</f>
        <v/>
      </c>
      <c r="F10" s="10">
        <f>IF('Prof Triangle'!F10&gt;0,'Prof Triangle'!G10/'Prof Triangle'!F10,"")</f>
        <v/>
      </c>
      <c r="G10" s="10">
        <f>IF('Prof Triangle'!G10&gt;0,'Prof Triangle'!H10/'Prof Triangle'!G10,"")</f>
        <v/>
      </c>
      <c r="H10" s="10">
        <f>IF('Prof Triangle'!H10&gt;0,'Prof Triangle'!I10/'Prof Triangle'!H10,"")</f>
        <v/>
      </c>
      <c r="I10" s="10">
        <f>IF('Prof Triangle'!I10&gt;0,'Prof Triangle'!J10/'Prof Triangle'!I10,"")</f>
        <v/>
      </c>
      <c r="J10" s="10">
        <f>IF('Prof Triangle'!J10&gt;0,'Prof Triangle'!K10/'Prof Triangle'!J10,"")</f>
        <v/>
      </c>
      <c r="K10" s="10">
        <f>IF('Prof Triangle'!K10&gt;0,'Prof Triangle'!L10/'Prof Triangle'!K10,"")</f>
        <v/>
      </c>
      <c r="L10" s="10">
        <f>IF('Prof Triangle'!L10&gt;0,'Prof Triangle'!M10/'Prof Triangle'!L10,"")</f>
        <v/>
      </c>
      <c r="M10" s="10">
        <f>IF('Prof Triangle'!M10&gt;0,'Prof Triangle'!N10/'Prof Triangle'!M10,"")</f>
        <v/>
      </c>
      <c r="N10" s="10">
        <f>IF('Prof Triangle'!N10&gt;0,'Prof Triangle'!O10/'Prof Triangle'!N10,"")</f>
        <v/>
      </c>
      <c r="O10" s="10">
        <f>IF('Prof Triangle'!O10&gt;0,'Prof Triangle'!P10/'Prof Triangle'!O10,"")</f>
        <v/>
      </c>
      <c r="P10" s="10">
        <f>IF('Prof Triangle'!P10&gt;0,'Prof Triangle'!Q10/'Prof Triangle'!P10,"")</f>
        <v/>
      </c>
      <c r="Q10" s="10">
        <f>IF('Prof Triangle'!Q10&gt;0,'Prof Triangle'!R10/'Prof Triangle'!Q10,"")</f>
        <v/>
      </c>
      <c r="R10" s="10">
        <f>IF('Prof Triangle'!R10&gt;0,'Prof Triangle'!S10/'Prof Triangle'!R10,"")</f>
        <v/>
      </c>
      <c r="S10" s="10">
        <f>IF('Prof Triangle'!S10&gt;0,'Prof Triangle'!T10/'Prof Triangle'!S10,"")</f>
        <v/>
      </c>
      <c r="T10" s="10">
        <f>IF('Prof Triangle'!T10&gt;0,'Prof Triangle'!U10/'Prof Triangle'!T10,"")</f>
        <v/>
      </c>
      <c r="U10" s="10">
        <f>IF('Prof Triangle'!U10&gt;0,'Prof Triangle'!V10/'Prof Triangle'!U10,"")</f>
        <v/>
      </c>
      <c r="V10" s="10">
        <f>IF('Prof Triangle'!V10&gt;0,'Prof Triangle'!W10/'Prof Triangle'!V10,"")</f>
        <v/>
      </c>
      <c r="W10" s="10">
        <f>IF('Prof Triangle'!W10&gt;0,'Prof Triangle'!X10/'Prof Triangle'!W10,"")</f>
        <v/>
      </c>
      <c r="X10" s="10">
        <f>IF('Prof Triangle'!X10&gt;0,'Prof Triangle'!Y10/'Prof Triangle'!X10,"")</f>
        <v/>
      </c>
      <c r="Y10" s="10">
        <f>IF('Prof Triangle'!Y10&gt;0,'Prof Triangle'!Z10/'Prof Triangle'!Y10,"")</f>
        <v/>
      </c>
      <c r="Z10" s="10">
        <f>IF('Prof Triangle'!Z10&gt;0,'Prof Triangle'!AA10/'Prof Triangle'!Z10,"")</f>
        <v/>
      </c>
      <c r="AA10" s="10">
        <f>IF('Prof Triangle'!AA10&gt;0,'Prof Triangle'!AB10/'Prof Triangle'!AA10,"")</f>
        <v/>
      </c>
      <c r="AB10" s="10">
        <f>IF('Prof Triangle'!AB10&gt;0,'Prof Triangle'!AC10/'Prof Triangle'!AB10,"")</f>
        <v/>
      </c>
      <c r="AC10" s="10">
        <f>IF('Prof Triangle'!AC10&gt;0,'Prof Triangle'!AD10/'Prof Triangle'!AC10,"")</f>
        <v/>
      </c>
      <c r="AD10" s="10">
        <f>IF('Prof Triangle'!AD10&gt;0,'Prof Triangle'!AE10/'Prof Triangle'!AD10,"")</f>
        <v/>
      </c>
      <c r="AE10" s="10">
        <f>IF('Prof Triangle'!AE10&gt;0,'Prof Triangle'!AF10/'Prof Triangle'!AE10,"")</f>
        <v/>
      </c>
      <c r="AF10" s="10">
        <f>IF('Prof Triangle'!AF10&gt;0,'Prof Triangle'!AG10/'Prof Triangle'!AF10,"")</f>
        <v/>
      </c>
      <c r="AG10" s="10">
        <f>IF('Prof Triangle'!AG10&gt;0,'Prof Triangle'!AH10/'Prof Triangle'!AG10,"")</f>
        <v/>
      </c>
      <c r="AH10" s="11">
        <f>IF('Prof Triangle'!AH10&gt;0,'Prof Triangle'!AI10/'Prof Triangle'!AH10,"")</f>
        <v/>
      </c>
      <c r="AI10" s="11">
        <f>IF('Prof Triangle'!AI10&gt;0,'Prof Triangle'!AJ10/'Prof Triangle'!AI10,"")</f>
        <v/>
      </c>
      <c r="AJ10" s="10">
        <f>IF('Prof Triangle'!AJ10&gt;0,'Prof Triangle'!AK10/'Prof Triangle'!AJ10,"")</f>
        <v/>
      </c>
      <c r="AK10" s="10">
        <f>IF('Prof Triangle'!AK10&gt;0,'Prof Triangle'!AL10/'Prof Triangle'!AK10,"")</f>
        <v/>
      </c>
    </row>
    <row r="11">
      <c r="A11" s="6" t="inlineStr">
        <is>
          <t>2023-10</t>
        </is>
      </c>
      <c r="B11" s="10">
        <f>IF('Prof Triangle'!B11&gt;0,'Prof Triangle'!C11/'Prof Triangle'!B11,"")</f>
        <v/>
      </c>
      <c r="C11" s="10">
        <f>IF('Prof Triangle'!C11&gt;0,'Prof Triangle'!D11/'Prof Triangle'!C11,"")</f>
        <v/>
      </c>
      <c r="D11" s="10">
        <f>IF('Prof Triangle'!D11&gt;0,'Prof Triangle'!E11/'Prof Triangle'!D11,"")</f>
        <v/>
      </c>
      <c r="E11" s="10">
        <f>IF('Prof Triangle'!E11&gt;0,'Prof Triangle'!F11/'Prof Triangle'!E11,"")</f>
        <v/>
      </c>
      <c r="F11" s="10">
        <f>IF('Prof Triangle'!F11&gt;0,'Prof Triangle'!G11/'Prof Triangle'!F11,"")</f>
        <v/>
      </c>
      <c r="G11" s="10">
        <f>IF('Prof Triangle'!G11&gt;0,'Prof Triangle'!H11/'Prof Triangle'!G11,"")</f>
        <v/>
      </c>
      <c r="H11" s="10">
        <f>IF('Prof Triangle'!H11&gt;0,'Prof Triangle'!I11/'Prof Triangle'!H11,"")</f>
        <v/>
      </c>
      <c r="I11" s="10">
        <f>IF('Prof Triangle'!I11&gt;0,'Prof Triangle'!J11/'Prof Triangle'!I11,"")</f>
        <v/>
      </c>
      <c r="J11" s="10">
        <f>IF('Prof Triangle'!J11&gt;0,'Prof Triangle'!K11/'Prof Triangle'!J11,"")</f>
        <v/>
      </c>
      <c r="K11" s="10">
        <f>IF('Prof Triangle'!K11&gt;0,'Prof Triangle'!L11/'Prof Triangle'!K11,"")</f>
        <v/>
      </c>
      <c r="L11" s="10">
        <f>IF('Prof Triangle'!L11&gt;0,'Prof Triangle'!M11/'Prof Triangle'!L11,"")</f>
        <v/>
      </c>
      <c r="M11" s="10">
        <f>IF('Prof Triangle'!M11&gt;0,'Prof Triangle'!N11/'Prof Triangle'!M11,"")</f>
        <v/>
      </c>
      <c r="N11" s="10">
        <f>IF('Prof Triangle'!N11&gt;0,'Prof Triangle'!O11/'Prof Triangle'!N11,"")</f>
        <v/>
      </c>
      <c r="O11" s="10">
        <f>IF('Prof Triangle'!O11&gt;0,'Prof Triangle'!P11/'Prof Triangle'!O11,"")</f>
        <v/>
      </c>
      <c r="P11" s="10">
        <f>IF('Prof Triangle'!P11&gt;0,'Prof Triangle'!Q11/'Prof Triangle'!P11,"")</f>
        <v/>
      </c>
      <c r="Q11" s="10">
        <f>IF('Prof Triangle'!Q11&gt;0,'Prof Triangle'!R11/'Prof Triangle'!Q11,"")</f>
        <v/>
      </c>
      <c r="R11" s="10">
        <f>IF('Prof Triangle'!R11&gt;0,'Prof Triangle'!S11/'Prof Triangle'!R11,"")</f>
        <v/>
      </c>
      <c r="S11" s="10">
        <f>IF('Prof Triangle'!S11&gt;0,'Prof Triangle'!T11/'Prof Triangle'!S11,"")</f>
        <v/>
      </c>
      <c r="T11" s="10">
        <f>IF('Prof Triangle'!T11&gt;0,'Prof Triangle'!U11/'Prof Triangle'!T11,"")</f>
        <v/>
      </c>
      <c r="U11" s="10">
        <f>IF('Prof Triangle'!U11&gt;0,'Prof Triangle'!V11/'Prof Triangle'!U11,"")</f>
        <v/>
      </c>
      <c r="V11" s="10">
        <f>IF('Prof Triangle'!V11&gt;0,'Prof Triangle'!W11/'Prof Triangle'!V11,"")</f>
        <v/>
      </c>
      <c r="W11" s="10">
        <f>IF('Prof Triangle'!W11&gt;0,'Prof Triangle'!X11/'Prof Triangle'!W11,"")</f>
        <v/>
      </c>
      <c r="X11" s="10">
        <f>IF('Prof Triangle'!X11&gt;0,'Prof Triangle'!Y11/'Prof Triangle'!X11,"")</f>
        <v/>
      </c>
      <c r="Y11" s="10">
        <f>IF('Prof Triangle'!Y11&gt;0,'Prof Triangle'!Z11/'Prof Triangle'!Y11,"")</f>
        <v/>
      </c>
      <c r="Z11" s="10">
        <f>IF('Prof Triangle'!Z11&gt;0,'Prof Triangle'!AA11/'Prof Triangle'!Z11,"")</f>
        <v/>
      </c>
      <c r="AA11" s="10">
        <f>IF('Prof Triangle'!AA11&gt;0,'Prof Triangle'!AB11/'Prof Triangle'!AA11,"")</f>
        <v/>
      </c>
      <c r="AB11" s="10">
        <f>IF('Prof Triangle'!AB11&gt;0,'Prof Triangle'!AC11/'Prof Triangle'!AB11,"")</f>
        <v/>
      </c>
      <c r="AC11" s="10">
        <f>IF('Prof Triangle'!AC11&gt;0,'Prof Triangle'!AD11/'Prof Triangle'!AC11,"")</f>
        <v/>
      </c>
      <c r="AD11" s="10">
        <f>IF('Prof Triangle'!AD11&gt;0,'Prof Triangle'!AE11/'Prof Triangle'!AD11,"")</f>
        <v/>
      </c>
      <c r="AE11" s="10">
        <f>IF('Prof Triangle'!AE11&gt;0,'Prof Triangle'!AF11/'Prof Triangle'!AE11,"")</f>
        <v/>
      </c>
      <c r="AF11" s="10">
        <f>IF('Prof Triangle'!AF11&gt;0,'Prof Triangle'!AG11/'Prof Triangle'!AF11,"")</f>
        <v/>
      </c>
      <c r="AG11" s="11">
        <f>IF('Prof Triangle'!AG11&gt;0,'Prof Triangle'!AH11/'Prof Triangle'!AG11,"")</f>
        <v/>
      </c>
      <c r="AH11" s="11">
        <f>IF('Prof Triangle'!AH11&gt;0,'Prof Triangle'!AI11/'Prof Triangle'!AH11,"")</f>
        <v/>
      </c>
      <c r="AI11" s="10">
        <f>IF('Prof Triangle'!AI11&gt;0,'Prof Triangle'!AJ11/'Prof Triangle'!AI11,"")</f>
        <v/>
      </c>
      <c r="AJ11" s="10">
        <f>IF('Prof Triangle'!AJ11&gt;0,'Prof Triangle'!AK11/'Prof Triangle'!AJ11,"")</f>
        <v/>
      </c>
    </row>
    <row r="12">
      <c r="A12" s="6" t="inlineStr">
        <is>
          <t>2023-11</t>
        </is>
      </c>
      <c r="B12" s="10">
        <f>IF('Prof Triangle'!B12&gt;0,'Prof Triangle'!C12/'Prof Triangle'!B12,"")</f>
        <v/>
      </c>
      <c r="C12" s="10">
        <f>IF('Prof Triangle'!C12&gt;0,'Prof Triangle'!D12/'Prof Triangle'!C12,"")</f>
        <v/>
      </c>
      <c r="D12" s="10">
        <f>IF('Prof Triangle'!D12&gt;0,'Prof Triangle'!E12/'Prof Triangle'!D12,"")</f>
        <v/>
      </c>
      <c r="E12" s="10">
        <f>IF('Prof Triangle'!E12&gt;0,'Prof Triangle'!F12/'Prof Triangle'!E12,"")</f>
        <v/>
      </c>
      <c r="F12" s="10">
        <f>IF('Prof Triangle'!F12&gt;0,'Prof Triangle'!G12/'Prof Triangle'!F12,"")</f>
        <v/>
      </c>
      <c r="G12" s="10">
        <f>IF('Prof Triangle'!G12&gt;0,'Prof Triangle'!H12/'Prof Triangle'!G12,"")</f>
        <v/>
      </c>
      <c r="H12" s="10">
        <f>IF('Prof Triangle'!H12&gt;0,'Prof Triangle'!I12/'Prof Triangle'!H12,"")</f>
        <v/>
      </c>
      <c r="I12" s="10">
        <f>IF('Prof Triangle'!I12&gt;0,'Prof Triangle'!J12/'Prof Triangle'!I12,"")</f>
        <v/>
      </c>
      <c r="J12" s="10">
        <f>IF('Prof Triangle'!J12&gt;0,'Prof Triangle'!K12/'Prof Triangle'!J12,"")</f>
        <v/>
      </c>
      <c r="K12" s="10">
        <f>IF('Prof Triangle'!K12&gt;0,'Prof Triangle'!L12/'Prof Triangle'!K12,"")</f>
        <v/>
      </c>
      <c r="L12" s="10">
        <f>IF('Prof Triangle'!L12&gt;0,'Prof Triangle'!M12/'Prof Triangle'!L12,"")</f>
        <v/>
      </c>
      <c r="M12" s="10">
        <f>IF('Prof Triangle'!M12&gt;0,'Prof Triangle'!N12/'Prof Triangle'!M12,"")</f>
        <v/>
      </c>
      <c r="N12" s="10">
        <f>IF('Prof Triangle'!N12&gt;0,'Prof Triangle'!O12/'Prof Triangle'!N12,"")</f>
        <v/>
      </c>
      <c r="O12" s="10">
        <f>IF('Prof Triangle'!O12&gt;0,'Prof Triangle'!P12/'Prof Triangle'!O12,"")</f>
        <v/>
      </c>
      <c r="P12" s="10">
        <f>IF('Prof Triangle'!P12&gt;0,'Prof Triangle'!Q12/'Prof Triangle'!P12,"")</f>
        <v/>
      </c>
      <c r="Q12" s="10">
        <f>IF('Prof Triangle'!Q12&gt;0,'Prof Triangle'!R12/'Prof Triangle'!Q12,"")</f>
        <v/>
      </c>
      <c r="R12" s="10">
        <f>IF('Prof Triangle'!R12&gt;0,'Prof Triangle'!S12/'Prof Triangle'!R12,"")</f>
        <v/>
      </c>
      <c r="S12" s="10">
        <f>IF('Prof Triangle'!S12&gt;0,'Prof Triangle'!T12/'Prof Triangle'!S12,"")</f>
        <v/>
      </c>
      <c r="T12" s="10">
        <f>IF('Prof Triangle'!T12&gt;0,'Prof Triangle'!U12/'Prof Triangle'!T12,"")</f>
        <v/>
      </c>
      <c r="U12" s="10">
        <f>IF('Prof Triangle'!U12&gt;0,'Prof Triangle'!V12/'Prof Triangle'!U12,"")</f>
        <v/>
      </c>
      <c r="V12" s="10">
        <f>IF('Prof Triangle'!V12&gt;0,'Prof Triangle'!W12/'Prof Triangle'!V12,"")</f>
        <v/>
      </c>
      <c r="W12" s="10">
        <f>IF('Prof Triangle'!W12&gt;0,'Prof Triangle'!X12/'Prof Triangle'!W12,"")</f>
        <v/>
      </c>
      <c r="X12" s="10">
        <f>IF('Prof Triangle'!X12&gt;0,'Prof Triangle'!Y12/'Prof Triangle'!X12,"")</f>
        <v/>
      </c>
      <c r="Y12" s="10">
        <f>IF('Prof Triangle'!Y12&gt;0,'Prof Triangle'!Z12/'Prof Triangle'!Y12,"")</f>
        <v/>
      </c>
      <c r="Z12" s="10">
        <f>IF('Prof Triangle'!Z12&gt;0,'Prof Triangle'!AA12/'Prof Triangle'!Z12,"")</f>
        <v/>
      </c>
      <c r="AA12" s="10">
        <f>IF('Prof Triangle'!AA12&gt;0,'Prof Triangle'!AB12/'Prof Triangle'!AA12,"")</f>
        <v/>
      </c>
      <c r="AB12" s="10">
        <f>IF('Prof Triangle'!AB12&gt;0,'Prof Triangle'!AC12/'Prof Triangle'!AB12,"")</f>
        <v/>
      </c>
      <c r="AC12" s="10">
        <f>IF('Prof Triangle'!AC12&gt;0,'Prof Triangle'!AD12/'Prof Triangle'!AC12,"")</f>
        <v/>
      </c>
      <c r="AD12" s="10">
        <f>IF('Prof Triangle'!AD12&gt;0,'Prof Triangle'!AE12/'Prof Triangle'!AD12,"")</f>
        <v/>
      </c>
      <c r="AE12" s="10">
        <f>IF('Prof Triangle'!AE12&gt;0,'Prof Triangle'!AF12/'Prof Triangle'!AE12,"")</f>
        <v/>
      </c>
      <c r="AF12" s="11">
        <f>IF('Prof Triangle'!AF12&gt;0,'Prof Triangle'!AG12/'Prof Triangle'!AF12,"")</f>
        <v/>
      </c>
      <c r="AG12" s="11">
        <f>IF('Prof Triangle'!AG12&gt;0,'Prof Triangle'!AH12/'Prof Triangle'!AG12,"")</f>
        <v/>
      </c>
      <c r="AH12" s="10">
        <f>IF('Prof Triangle'!AH12&gt;0,'Prof Triangle'!AI12/'Prof Triangle'!AH12,"")</f>
        <v/>
      </c>
      <c r="AI12" s="10">
        <f>IF('Prof Triangle'!AI12&gt;0,'Prof Triangle'!AJ12/'Prof Triangle'!AI12,"")</f>
        <v/>
      </c>
    </row>
    <row r="13">
      <c r="A13" s="6" t="inlineStr">
        <is>
          <t>2023-12</t>
        </is>
      </c>
      <c r="B13" s="10">
        <f>IF('Prof Triangle'!B13&gt;0,'Prof Triangle'!C13/'Prof Triangle'!B13,"")</f>
        <v/>
      </c>
      <c r="C13" s="10">
        <f>IF('Prof Triangle'!C13&gt;0,'Prof Triangle'!D13/'Prof Triangle'!C13,"")</f>
        <v/>
      </c>
      <c r="D13" s="10">
        <f>IF('Prof Triangle'!D13&gt;0,'Prof Triangle'!E13/'Prof Triangle'!D13,"")</f>
        <v/>
      </c>
      <c r="E13" s="10">
        <f>IF('Prof Triangle'!E13&gt;0,'Prof Triangle'!F13/'Prof Triangle'!E13,"")</f>
        <v/>
      </c>
      <c r="F13" s="10">
        <f>IF('Prof Triangle'!F13&gt;0,'Prof Triangle'!G13/'Prof Triangle'!F13,"")</f>
        <v/>
      </c>
      <c r="G13" s="10">
        <f>IF('Prof Triangle'!G13&gt;0,'Prof Triangle'!H13/'Prof Triangle'!G13,"")</f>
        <v/>
      </c>
      <c r="H13" s="10">
        <f>IF('Prof Triangle'!H13&gt;0,'Prof Triangle'!I13/'Prof Triangle'!H13,"")</f>
        <v/>
      </c>
      <c r="I13" s="10">
        <f>IF('Prof Triangle'!I13&gt;0,'Prof Triangle'!J13/'Prof Triangle'!I13,"")</f>
        <v/>
      </c>
      <c r="J13" s="10">
        <f>IF('Prof Triangle'!J13&gt;0,'Prof Triangle'!K13/'Prof Triangle'!J13,"")</f>
        <v/>
      </c>
      <c r="K13" s="10">
        <f>IF('Prof Triangle'!K13&gt;0,'Prof Triangle'!L13/'Prof Triangle'!K13,"")</f>
        <v/>
      </c>
      <c r="L13" s="10">
        <f>IF('Prof Triangle'!L13&gt;0,'Prof Triangle'!M13/'Prof Triangle'!L13,"")</f>
        <v/>
      </c>
      <c r="M13" s="10">
        <f>IF('Prof Triangle'!M13&gt;0,'Prof Triangle'!N13/'Prof Triangle'!M13,"")</f>
        <v/>
      </c>
      <c r="N13" s="10">
        <f>IF('Prof Triangle'!N13&gt;0,'Prof Triangle'!O13/'Prof Triangle'!N13,"")</f>
        <v/>
      </c>
      <c r="O13" s="10">
        <f>IF('Prof Triangle'!O13&gt;0,'Prof Triangle'!P13/'Prof Triangle'!O13,"")</f>
        <v/>
      </c>
      <c r="P13" s="10">
        <f>IF('Prof Triangle'!P13&gt;0,'Prof Triangle'!Q13/'Prof Triangle'!P13,"")</f>
        <v/>
      </c>
      <c r="Q13" s="10">
        <f>IF('Prof Triangle'!Q13&gt;0,'Prof Triangle'!R13/'Prof Triangle'!Q13,"")</f>
        <v/>
      </c>
      <c r="R13" s="10">
        <f>IF('Prof Triangle'!R13&gt;0,'Prof Triangle'!S13/'Prof Triangle'!R13,"")</f>
        <v/>
      </c>
      <c r="S13" s="10">
        <f>IF('Prof Triangle'!S13&gt;0,'Prof Triangle'!T13/'Prof Triangle'!S13,"")</f>
        <v/>
      </c>
      <c r="T13" s="10">
        <f>IF('Prof Triangle'!T13&gt;0,'Prof Triangle'!U13/'Prof Triangle'!T13,"")</f>
        <v/>
      </c>
      <c r="U13" s="10">
        <f>IF('Prof Triangle'!U13&gt;0,'Prof Triangle'!V13/'Prof Triangle'!U13,"")</f>
        <v/>
      </c>
      <c r="V13" s="10">
        <f>IF('Prof Triangle'!V13&gt;0,'Prof Triangle'!W13/'Prof Triangle'!V13,"")</f>
        <v/>
      </c>
      <c r="W13" s="10">
        <f>IF('Prof Triangle'!W13&gt;0,'Prof Triangle'!X13/'Prof Triangle'!W13,"")</f>
        <v/>
      </c>
      <c r="X13" s="10">
        <f>IF('Prof Triangle'!X13&gt;0,'Prof Triangle'!Y13/'Prof Triangle'!X13,"")</f>
        <v/>
      </c>
      <c r="Y13" s="10">
        <f>IF('Prof Triangle'!Y13&gt;0,'Prof Triangle'!Z13/'Prof Triangle'!Y13,"")</f>
        <v/>
      </c>
      <c r="Z13" s="10">
        <f>IF('Prof Triangle'!Z13&gt;0,'Prof Triangle'!AA13/'Prof Triangle'!Z13,"")</f>
        <v/>
      </c>
      <c r="AA13" s="10">
        <f>IF('Prof Triangle'!AA13&gt;0,'Prof Triangle'!AB13/'Prof Triangle'!AA13,"")</f>
        <v/>
      </c>
      <c r="AB13" s="10">
        <f>IF('Prof Triangle'!AB13&gt;0,'Prof Triangle'!AC13/'Prof Triangle'!AB13,"")</f>
        <v/>
      </c>
      <c r="AC13" s="10">
        <f>IF('Prof Triangle'!AC13&gt;0,'Prof Triangle'!AD13/'Prof Triangle'!AC13,"")</f>
        <v/>
      </c>
      <c r="AD13" s="10">
        <f>IF('Prof Triangle'!AD13&gt;0,'Prof Triangle'!AE13/'Prof Triangle'!AD13,"")</f>
        <v/>
      </c>
      <c r="AE13" s="11">
        <f>IF('Prof Triangle'!AE13&gt;0,'Prof Triangle'!AF13/'Prof Triangle'!AE13,"")</f>
        <v/>
      </c>
      <c r="AF13" s="11">
        <f>IF('Prof Triangle'!AF13&gt;0,'Prof Triangle'!AG13/'Prof Triangle'!AF13,"")</f>
        <v/>
      </c>
      <c r="AG13" s="10">
        <f>IF('Prof Triangle'!AG13&gt;0,'Prof Triangle'!AH13/'Prof Triangle'!AG13,"")</f>
        <v/>
      </c>
      <c r="AH13" s="10">
        <f>IF('Prof Triangle'!AH13&gt;0,'Prof Triangle'!AI13/'Prof Triangle'!AH13,"")</f>
        <v/>
      </c>
    </row>
    <row r="14">
      <c r="A14" s="6" t="inlineStr">
        <is>
          <t>2024-01</t>
        </is>
      </c>
      <c r="B14" s="10">
        <f>IF('Prof Triangle'!B14&gt;0,'Prof Triangle'!C14/'Prof Triangle'!B14,"")</f>
        <v/>
      </c>
      <c r="C14" s="10">
        <f>IF('Prof Triangle'!C14&gt;0,'Prof Triangle'!D14/'Prof Triangle'!C14,"")</f>
        <v/>
      </c>
      <c r="D14" s="10">
        <f>IF('Prof Triangle'!D14&gt;0,'Prof Triangle'!E14/'Prof Triangle'!D14,"")</f>
        <v/>
      </c>
      <c r="E14" s="10">
        <f>IF('Prof Triangle'!E14&gt;0,'Prof Triangle'!F14/'Prof Triangle'!E14,"")</f>
        <v/>
      </c>
      <c r="F14" s="10">
        <f>IF('Prof Triangle'!F14&gt;0,'Prof Triangle'!G14/'Prof Triangle'!F14,"")</f>
        <v/>
      </c>
      <c r="G14" s="10">
        <f>IF('Prof Triangle'!G14&gt;0,'Prof Triangle'!H14/'Prof Triangle'!G14,"")</f>
        <v/>
      </c>
      <c r="H14" s="10">
        <f>IF('Prof Triangle'!H14&gt;0,'Prof Triangle'!I14/'Prof Triangle'!H14,"")</f>
        <v/>
      </c>
      <c r="I14" s="10">
        <f>IF('Prof Triangle'!I14&gt;0,'Prof Triangle'!J14/'Prof Triangle'!I14,"")</f>
        <v/>
      </c>
      <c r="J14" s="10">
        <f>IF('Prof Triangle'!J14&gt;0,'Prof Triangle'!K14/'Prof Triangle'!J14,"")</f>
        <v/>
      </c>
      <c r="K14" s="10">
        <f>IF('Prof Triangle'!K14&gt;0,'Prof Triangle'!L14/'Prof Triangle'!K14,"")</f>
        <v/>
      </c>
      <c r="L14" s="10">
        <f>IF('Prof Triangle'!L14&gt;0,'Prof Triangle'!M14/'Prof Triangle'!L14,"")</f>
        <v/>
      </c>
      <c r="M14" s="10">
        <f>IF('Prof Triangle'!M14&gt;0,'Prof Triangle'!N14/'Prof Triangle'!M14,"")</f>
        <v/>
      </c>
      <c r="N14" s="10">
        <f>IF('Prof Triangle'!N14&gt;0,'Prof Triangle'!O14/'Prof Triangle'!N14,"")</f>
        <v/>
      </c>
      <c r="O14" s="10">
        <f>IF('Prof Triangle'!O14&gt;0,'Prof Triangle'!P14/'Prof Triangle'!O14,"")</f>
        <v/>
      </c>
      <c r="P14" s="10">
        <f>IF('Prof Triangle'!P14&gt;0,'Prof Triangle'!Q14/'Prof Triangle'!P14,"")</f>
        <v/>
      </c>
      <c r="Q14" s="10">
        <f>IF('Prof Triangle'!Q14&gt;0,'Prof Triangle'!R14/'Prof Triangle'!Q14,"")</f>
        <v/>
      </c>
      <c r="R14" s="10">
        <f>IF('Prof Triangle'!R14&gt;0,'Prof Triangle'!S14/'Prof Triangle'!R14,"")</f>
        <v/>
      </c>
      <c r="S14" s="10">
        <f>IF('Prof Triangle'!S14&gt;0,'Prof Triangle'!T14/'Prof Triangle'!S14,"")</f>
        <v/>
      </c>
      <c r="T14" s="10">
        <f>IF('Prof Triangle'!T14&gt;0,'Prof Triangle'!U14/'Prof Triangle'!T14,"")</f>
        <v/>
      </c>
      <c r="U14" s="10">
        <f>IF('Prof Triangle'!U14&gt;0,'Prof Triangle'!V14/'Prof Triangle'!U14,"")</f>
        <v/>
      </c>
      <c r="V14" s="10">
        <f>IF('Prof Triangle'!V14&gt;0,'Prof Triangle'!W14/'Prof Triangle'!V14,"")</f>
        <v/>
      </c>
      <c r="W14" s="10">
        <f>IF('Prof Triangle'!W14&gt;0,'Prof Triangle'!X14/'Prof Triangle'!W14,"")</f>
        <v/>
      </c>
      <c r="X14" s="10">
        <f>IF('Prof Triangle'!X14&gt;0,'Prof Triangle'!Y14/'Prof Triangle'!X14,"")</f>
        <v/>
      </c>
      <c r="Y14" s="10">
        <f>IF('Prof Triangle'!Y14&gt;0,'Prof Triangle'!Z14/'Prof Triangle'!Y14,"")</f>
        <v/>
      </c>
      <c r="Z14" s="10">
        <f>IF('Prof Triangle'!Z14&gt;0,'Prof Triangle'!AA14/'Prof Triangle'!Z14,"")</f>
        <v/>
      </c>
      <c r="AA14" s="10">
        <f>IF('Prof Triangle'!AA14&gt;0,'Prof Triangle'!AB14/'Prof Triangle'!AA14,"")</f>
        <v/>
      </c>
      <c r="AB14" s="10">
        <f>IF('Prof Triangle'!AB14&gt;0,'Prof Triangle'!AC14/'Prof Triangle'!AB14,"")</f>
        <v/>
      </c>
      <c r="AC14" s="10">
        <f>IF('Prof Triangle'!AC14&gt;0,'Prof Triangle'!AD14/'Prof Triangle'!AC14,"")</f>
        <v/>
      </c>
      <c r="AD14" s="11">
        <f>IF('Prof Triangle'!AD14&gt;0,'Prof Triangle'!AE14/'Prof Triangle'!AD14,"")</f>
        <v/>
      </c>
      <c r="AE14" s="11">
        <f>IF('Prof Triangle'!AE14&gt;0,'Prof Triangle'!AF14/'Prof Triangle'!AE14,"")</f>
        <v/>
      </c>
      <c r="AF14" s="10">
        <f>IF('Prof Triangle'!AF14&gt;0,'Prof Triangle'!AG14/'Prof Triangle'!AF14,"")</f>
        <v/>
      </c>
      <c r="AG14" s="10">
        <f>IF('Prof Triangle'!AG14&gt;0,'Prof Triangle'!AH14/'Prof Triangle'!AG14,"")</f>
        <v/>
      </c>
    </row>
    <row r="15">
      <c r="A15" s="6" t="inlineStr">
        <is>
          <t>2024-02</t>
        </is>
      </c>
      <c r="B15" s="10">
        <f>IF('Prof Triangle'!B15&gt;0,'Prof Triangle'!C15/'Prof Triangle'!B15,"")</f>
        <v/>
      </c>
      <c r="C15" s="10">
        <f>IF('Prof Triangle'!C15&gt;0,'Prof Triangle'!D15/'Prof Triangle'!C15,"")</f>
        <v/>
      </c>
      <c r="D15" s="10">
        <f>IF('Prof Triangle'!D15&gt;0,'Prof Triangle'!E15/'Prof Triangle'!D15,"")</f>
        <v/>
      </c>
      <c r="E15" s="10">
        <f>IF('Prof Triangle'!E15&gt;0,'Prof Triangle'!F15/'Prof Triangle'!E15,"")</f>
        <v/>
      </c>
      <c r="F15" s="10">
        <f>IF('Prof Triangle'!F15&gt;0,'Prof Triangle'!G15/'Prof Triangle'!F15,"")</f>
        <v/>
      </c>
      <c r="G15" s="10">
        <f>IF('Prof Triangle'!G15&gt;0,'Prof Triangle'!H15/'Prof Triangle'!G15,"")</f>
        <v/>
      </c>
      <c r="H15" s="10">
        <f>IF('Prof Triangle'!H15&gt;0,'Prof Triangle'!I15/'Prof Triangle'!H15,"")</f>
        <v/>
      </c>
      <c r="I15" s="10">
        <f>IF('Prof Triangle'!I15&gt;0,'Prof Triangle'!J15/'Prof Triangle'!I15,"")</f>
        <v/>
      </c>
      <c r="J15" s="10">
        <f>IF('Prof Triangle'!J15&gt;0,'Prof Triangle'!K15/'Prof Triangle'!J15,"")</f>
        <v/>
      </c>
      <c r="K15" s="10">
        <f>IF('Prof Triangle'!K15&gt;0,'Prof Triangle'!L15/'Prof Triangle'!K15,"")</f>
        <v/>
      </c>
      <c r="L15" s="10">
        <f>IF('Prof Triangle'!L15&gt;0,'Prof Triangle'!M15/'Prof Triangle'!L15,"")</f>
        <v/>
      </c>
      <c r="M15" s="10">
        <f>IF('Prof Triangle'!M15&gt;0,'Prof Triangle'!N15/'Prof Triangle'!M15,"")</f>
        <v/>
      </c>
      <c r="N15" s="10">
        <f>IF('Prof Triangle'!N15&gt;0,'Prof Triangle'!O15/'Prof Triangle'!N15,"")</f>
        <v/>
      </c>
      <c r="O15" s="10">
        <f>IF('Prof Triangle'!O15&gt;0,'Prof Triangle'!P15/'Prof Triangle'!O15,"")</f>
        <v/>
      </c>
      <c r="P15" s="10">
        <f>IF('Prof Triangle'!P15&gt;0,'Prof Triangle'!Q15/'Prof Triangle'!P15,"")</f>
        <v/>
      </c>
      <c r="Q15" s="10">
        <f>IF('Prof Triangle'!Q15&gt;0,'Prof Triangle'!R15/'Prof Triangle'!Q15,"")</f>
        <v/>
      </c>
      <c r="R15" s="10">
        <f>IF('Prof Triangle'!R15&gt;0,'Prof Triangle'!S15/'Prof Triangle'!R15,"")</f>
        <v/>
      </c>
      <c r="S15" s="10">
        <f>IF('Prof Triangle'!S15&gt;0,'Prof Triangle'!T15/'Prof Triangle'!S15,"")</f>
        <v/>
      </c>
      <c r="T15" s="10">
        <f>IF('Prof Triangle'!T15&gt;0,'Prof Triangle'!U15/'Prof Triangle'!T15,"")</f>
        <v/>
      </c>
      <c r="U15" s="10">
        <f>IF('Prof Triangle'!U15&gt;0,'Prof Triangle'!V15/'Prof Triangle'!U15,"")</f>
        <v/>
      </c>
      <c r="V15" s="10">
        <f>IF('Prof Triangle'!V15&gt;0,'Prof Triangle'!W15/'Prof Triangle'!V15,"")</f>
        <v/>
      </c>
      <c r="W15" s="10">
        <f>IF('Prof Triangle'!W15&gt;0,'Prof Triangle'!X15/'Prof Triangle'!W15,"")</f>
        <v/>
      </c>
      <c r="X15" s="10">
        <f>IF('Prof Triangle'!X15&gt;0,'Prof Triangle'!Y15/'Prof Triangle'!X15,"")</f>
        <v/>
      </c>
      <c r="Y15" s="10">
        <f>IF('Prof Triangle'!Y15&gt;0,'Prof Triangle'!Z15/'Prof Triangle'!Y15,"")</f>
        <v/>
      </c>
      <c r="Z15" s="10">
        <f>IF('Prof Triangle'!Z15&gt;0,'Prof Triangle'!AA15/'Prof Triangle'!Z15,"")</f>
        <v/>
      </c>
      <c r="AA15" s="10">
        <f>IF('Prof Triangle'!AA15&gt;0,'Prof Triangle'!AB15/'Prof Triangle'!AA15,"")</f>
        <v/>
      </c>
      <c r="AB15" s="10">
        <f>IF('Prof Triangle'!AB15&gt;0,'Prof Triangle'!AC15/'Prof Triangle'!AB15,"")</f>
        <v/>
      </c>
      <c r="AC15" s="11">
        <f>IF('Prof Triangle'!AC15&gt;0,'Prof Triangle'!AD15/'Prof Triangle'!AC15,"")</f>
        <v/>
      </c>
      <c r="AD15" s="11">
        <f>IF('Prof Triangle'!AD15&gt;0,'Prof Triangle'!AE15/'Prof Triangle'!AD15,"")</f>
        <v/>
      </c>
      <c r="AE15" s="10">
        <f>IF('Prof Triangle'!AE15&gt;0,'Prof Triangle'!AF15/'Prof Triangle'!AE15,"")</f>
        <v/>
      </c>
      <c r="AF15" s="10">
        <f>IF('Prof Triangle'!AF15&gt;0,'Prof Triangle'!AG15/'Prof Triangle'!AF15,"")</f>
        <v/>
      </c>
    </row>
    <row r="16">
      <c r="A16" s="6" t="inlineStr">
        <is>
          <t>2024-03</t>
        </is>
      </c>
      <c r="B16" s="10">
        <f>IF('Prof Triangle'!B16&gt;0,'Prof Triangle'!C16/'Prof Triangle'!B16,"")</f>
        <v/>
      </c>
      <c r="C16" s="10">
        <f>IF('Prof Triangle'!C16&gt;0,'Prof Triangle'!D16/'Prof Triangle'!C16,"")</f>
        <v/>
      </c>
      <c r="D16" s="10">
        <f>IF('Prof Triangle'!D16&gt;0,'Prof Triangle'!E16/'Prof Triangle'!D16,"")</f>
        <v/>
      </c>
      <c r="E16" s="10">
        <f>IF('Prof Triangle'!E16&gt;0,'Prof Triangle'!F16/'Prof Triangle'!E16,"")</f>
        <v/>
      </c>
      <c r="F16" s="10">
        <f>IF('Prof Triangle'!F16&gt;0,'Prof Triangle'!G16/'Prof Triangle'!F16,"")</f>
        <v/>
      </c>
      <c r="G16" s="10">
        <f>IF('Prof Triangle'!G16&gt;0,'Prof Triangle'!H16/'Prof Triangle'!G16,"")</f>
        <v/>
      </c>
      <c r="H16" s="10">
        <f>IF('Prof Triangle'!H16&gt;0,'Prof Triangle'!I16/'Prof Triangle'!H16,"")</f>
        <v/>
      </c>
      <c r="I16" s="10">
        <f>IF('Prof Triangle'!I16&gt;0,'Prof Triangle'!J16/'Prof Triangle'!I16,"")</f>
        <v/>
      </c>
      <c r="J16" s="10">
        <f>IF('Prof Triangle'!J16&gt;0,'Prof Triangle'!K16/'Prof Triangle'!J16,"")</f>
        <v/>
      </c>
      <c r="K16" s="10">
        <f>IF('Prof Triangle'!K16&gt;0,'Prof Triangle'!L16/'Prof Triangle'!K16,"")</f>
        <v/>
      </c>
      <c r="L16" s="10">
        <f>IF('Prof Triangle'!L16&gt;0,'Prof Triangle'!M16/'Prof Triangle'!L16,"")</f>
        <v/>
      </c>
      <c r="M16" s="10">
        <f>IF('Prof Triangle'!M16&gt;0,'Prof Triangle'!N16/'Prof Triangle'!M16,"")</f>
        <v/>
      </c>
      <c r="N16" s="10">
        <f>IF('Prof Triangle'!N16&gt;0,'Prof Triangle'!O16/'Prof Triangle'!N16,"")</f>
        <v/>
      </c>
      <c r="O16" s="10">
        <f>IF('Prof Triangle'!O16&gt;0,'Prof Triangle'!P16/'Prof Triangle'!O16,"")</f>
        <v/>
      </c>
      <c r="P16" s="10">
        <f>IF('Prof Triangle'!P16&gt;0,'Prof Triangle'!Q16/'Prof Triangle'!P16,"")</f>
        <v/>
      </c>
      <c r="Q16" s="10">
        <f>IF('Prof Triangle'!Q16&gt;0,'Prof Triangle'!R16/'Prof Triangle'!Q16,"")</f>
        <v/>
      </c>
      <c r="R16" s="10">
        <f>IF('Prof Triangle'!R16&gt;0,'Prof Triangle'!S16/'Prof Triangle'!R16,"")</f>
        <v/>
      </c>
      <c r="S16" s="10">
        <f>IF('Prof Triangle'!S16&gt;0,'Prof Triangle'!T16/'Prof Triangle'!S16,"")</f>
        <v/>
      </c>
      <c r="T16" s="10">
        <f>IF('Prof Triangle'!T16&gt;0,'Prof Triangle'!U16/'Prof Triangle'!T16,"")</f>
        <v/>
      </c>
      <c r="U16" s="10">
        <f>IF('Prof Triangle'!U16&gt;0,'Prof Triangle'!V16/'Prof Triangle'!U16,"")</f>
        <v/>
      </c>
      <c r="V16" s="10">
        <f>IF('Prof Triangle'!V16&gt;0,'Prof Triangle'!W16/'Prof Triangle'!V16,"")</f>
        <v/>
      </c>
      <c r="W16" s="10">
        <f>IF('Prof Triangle'!W16&gt;0,'Prof Triangle'!X16/'Prof Triangle'!W16,"")</f>
        <v/>
      </c>
      <c r="X16" s="10">
        <f>IF('Prof Triangle'!X16&gt;0,'Prof Triangle'!Y16/'Prof Triangle'!X16,"")</f>
        <v/>
      </c>
      <c r="Y16" s="10">
        <f>IF('Prof Triangle'!Y16&gt;0,'Prof Triangle'!Z16/'Prof Triangle'!Y16,"")</f>
        <v/>
      </c>
      <c r="Z16" s="10">
        <f>IF('Prof Triangle'!Z16&gt;0,'Prof Triangle'!AA16/'Prof Triangle'!Z16,"")</f>
        <v/>
      </c>
      <c r="AA16" s="10">
        <f>IF('Prof Triangle'!AA16&gt;0,'Prof Triangle'!AB16/'Prof Triangle'!AA16,"")</f>
        <v/>
      </c>
      <c r="AB16" s="11">
        <f>IF('Prof Triangle'!AB16&gt;0,'Prof Triangle'!AC16/'Prof Triangle'!AB16,"")</f>
        <v/>
      </c>
      <c r="AC16" s="11">
        <f>IF('Prof Triangle'!AC16&gt;0,'Prof Triangle'!AD16/'Prof Triangle'!AC16,"")</f>
        <v/>
      </c>
      <c r="AD16" s="10">
        <f>IF('Prof Triangle'!AD16&gt;0,'Prof Triangle'!AE16/'Prof Triangle'!AD16,"")</f>
        <v/>
      </c>
      <c r="AE16" s="10">
        <f>IF('Prof Triangle'!AE16&gt;0,'Prof Triangle'!AF16/'Prof Triangle'!AE16,"")</f>
        <v/>
      </c>
    </row>
    <row r="17">
      <c r="A17" s="6" t="inlineStr">
        <is>
          <t>2024-04</t>
        </is>
      </c>
      <c r="B17" s="10">
        <f>IF('Prof Triangle'!B17&gt;0,'Prof Triangle'!C17/'Prof Triangle'!B17,"")</f>
        <v/>
      </c>
      <c r="C17" s="10">
        <f>IF('Prof Triangle'!C17&gt;0,'Prof Triangle'!D17/'Prof Triangle'!C17,"")</f>
        <v/>
      </c>
      <c r="D17" s="10">
        <f>IF('Prof Triangle'!D17&gt;0,'Prof Triangle'!E17/'Prof Triangle'!D17,"")</f>
        <v/>
      </c>
      <c r="E17" s="10">
        <f>IF('Prof Triangle'!E17&gt;0,'Prof Triangle'!F17/'Prof Triangle'!E17,"")</f>
        <v/>
      </c>
      <c r="F17" s="10">
        <f>IF('Prof Triangle'!F17&gt;0,'Prof Triangle'!G17/'Prof Triangle'!F17,"")</f>
        <v/>
      </c>
      <c r="G17" s="10">
        <f>IF('Prof Triangle'!G17&gt;0,'Prof Triangle'!H17/'Prof Triangle'!G17,"")</f>
        <v/>
      </c>
      <c r="H17" s="10">
        <f>IF('Prof Triangle'!H17&gt;0,'Prof Triangle'!I17/'Prof Triangle'!H17,"")</f>
        <v/>
      </c>
      <c r="I17" s="10">
        <f>IF('Prof Triangle'!I17&gt;0,'Prof Triangle'!J17/'Prof Triangle'!I17,"")</f>
        <v/>
      </c>
      <c r="J17" s="10">
        <f>IF('Prof Triangle'!J17&gt;0,'Prof Triangle'!K17/'Prof Triangle'!J17,"")</f>
        <v/>
      </c>
      <c r="K17" s="10">
        <f>IF('Prof Triangle'!K17&gt;0,'Prof Triangle'!L17/'Prof Triangle'!K17,"")</f>
        <v/>
      </c>
      <c r="L17" s="10">
        <f>IF('Prof Triangle'!L17&gt;0,'Prof Triangle'!M17/'Prof Triangle'!L17,"")</f>
        <v/>
      </c>
      <c r="M17" s="10">
        <f>IF('Prof Triangle'!M17&gt;0,'Prof Triangle'!N17/'Prof Triangle'!M17,"")</f>
        <v/>
      </c>
      <c r="N17" s="10">
        <f>IF('Prof Triangle'!N17&gt;0,'Prof Triangle'!O17/'Prof Triangle'!N17,"")</f>
        <v/>
      </c>
      <c r="O17" s="10">
        <f>IF('Prof Triangle'!O17&gt;0,'Prof Triangle'!P17/'Prof Triangle'!O17,"")</f>
        <v/>
      </c>
      <c r="P17" s="10">
        <f>IF('Prof Triangle'!P17&gt;0,'Prof Triangle'!Q17/'Prof Triangle'!P17,"")</f>
        <v/>
      </c>
      <c r="Q17" s="10">
        <f>IF('Prof Triangle'!Q17&gt;0,'Prof Triangle'!R17/'Prof Triangle'!Q17,"")</f>
        <v/>
      </c>
      <c r="R17" s="10">
        <f>IF('Prof Triangle'!R17&gt;0,'Prof Triangle'!S17/'Prof Triangle'!R17,"")</f>
        <v/>
      </c>
      <c r="S17" s="10">
        <f>IF('Prof Triangle'!S17&gt;0,'Prof Triangle'!T17/'Prof Triangle'!S17,"")</f>
        <v/>
      </c>
      <c r="T17" s="10">
        <f>IF('Prof Triangle'!T17&gt;0,'Prof Triangle'!U17/'Prof Triangle'!T17,"")</f>
        <v/>
      </c>
      <c r="U17" s="10">
        <f>IF('Prof Triangle'!U17&gt;0,'Prof Triangle'!V17/'Prof Triangle'!U17,"")</f>
        <v/>
      </c>
      <c r="V17" s="10">
        <f>IF('Prof Triangle'!V17&gt;0,'Prof Triangle'!W17/'Prof Triangle'!V17,"")</f>
        <v/>
      </c>
      <c r="W17" s="10">
        <f>IF('Prof Triangle'!W17&gt;0,'Prof Triangle'!X17/'Prof Triangle'!W17,"")</f>
        <v/>
      </c>
      <c r="X17" s="10">
        <f>IF('Prof Triangle'!X17&gt;0,'Prof Triangle'!Y17/'Prof Triangle'!X17,"")</f>
        <v/>
      </c>
      <c r="Y17" s="10">
        <f>IF('Prof Triangle'!Y17&gt;0,'Prof Triangle'!Z17/'Prof Triangle'!Y17,"")</f>
        <v/>
      </c>
      <c r="Z17" s="10">
        <f>IF('Prof Triangle'!Z17&gt;0,'Prof Triangle'!AA17/'Prof Triangle'!Z17,"")</f>
        <v/>
      </c>
      <c r="AA17" s="11">
        <f>IF('Prof Triangle'!AA17&gt;0,'Prof Triangle'!AB17/'Prof Triangle'!AA17,"")</f>
        <v/>
      </c>
      <c r="AB17" s="11">
        <f>IF('Prof Triangle'!AB17&gt;0,'Prof Triangle'!AC17/'Prof Triangle'!AB17,"")</f>
        <v/>
      </c>
      <c r="AC17" s="10">
        <f>IF('Prof Triangle'!AC17&gt;0,'Prof Triangle'!AD17/'Prof Triangle'!AC17,"")</f>
        <v/>
      </c>
      <c r="AD17" s="10">
        <f>IF('Prof Triangle'!AD17&gt;0,'Prof Triangle'!AE17/'Prof Triangle'!AD17,"")</f>
        <v/>
      </c>
    </row>
    <row r="18">
      <c r="A18" s="6" t="inlineStr">
        <is>
          <t>2024-05</t>
        </is>
      </c>
      <c r="B18" s="10">
        <f>IF('Prof Triangle'!B18&gt;0,'Prof Triangle'!C18/'Prof Triangle'!B18,"")</f>
        <v/>
      </c>
      <c r="C18" s="10">
        <f>IF('Prof Triangle'!C18&gt;0,'Prof Triangle'!D18/'Prof Triangle'!C18,"")</f>
        <v/>
      </c>
      <c r="D18" s="10">
        <f>IF('Prof Triangle'!D18&gt;0,'Prof Triangle'!E18/'Prof Triangle'!D18,"")</f>
        <v/>
      </c>
      <c r="E18" s="10">
        <f>IF('Prof Triangle'!E18&gt;0,'Prof Triangle'!F18/'Prof Triangle'!E18,"")</f>
        <v/>
      </c>
      <c r="F18" s="10">
        <f>IF('Prof Triangle'!F18&gt;0,'Prof Triangle'!G18/'Prof Triangle'!F18,"")</f>
        <v/>
      </c>
      <c r="G18" s="10">
        <f>IF('Prof Triangle'!G18&gt;0,'Prof Triangle'!H18/'Prof Triangle'!G18,"")</f>
        <v/>
      </c>
      <c r="H18" s="10">
        <f>IF('Prof Triangle'!H18&gt;0,'Prof Triangle'!I18/'Prof Triangle'!H18,"")</f>
        <v/>
      </c>
      <c r="I18" s="10">
        <f>IF('Prof Triangle'!I18&gt;0,'Prof Triangle'!J18/'Prof Triangle'!I18,"")</f>
        <v/>
      </c>
      <c r="J18" s="10">
        <f>IF('Prof Triangle'!J18&gt;0,'Prof Triangle'!K18/'Prof Triangle'!J18,"")</f>
        <v/>
      </c>
      <c r="K18" s="10">
        <f>IF('Prof Triangle'!K18&gt;0,'Prof Triangle'!L18/'Prof Triangle'!K18,"")</f>
        <v/>
      </c>
      <c r="L18" s="10">
        <f>IF('Prof Triangle'!L18&gt;0,'Prof Triangle'!M18/'Prof Triangle'!L18,"")</f>
        <v/>
      </c>
      <c r="M18" s="10">
        <f>IF('Prof Triangle'!M18&gt;0,'Prof Triangle'!N18/'Prof Triangle'!M18,"")</f>
        <v/>
      </c>
      <c r="N18" s="10">
        <f>IF('Prof Triangle'!N18&gt;0,'Prof Triangle'!O18/'Prof Triangle'!N18,"")</f>
        <v/>
      </c>
      <c r="O18" s="10">
        <f>IF('Prof Triangle'!O18&gt;0,'Prof Triangle'!P18/'Prof Triangle'!O18,"")</f>
        <v/>
      </c>
      <c r="P18" s="10">
        <f>IF('Prof Triangle'!P18&gt;0,'Prof Triangle'!Q18/'Prof Triangle'!P18,"")</f>
        <v/>
      </c>
      <c r="Q18" s="10">
        <f>IF('Prof Triangle'!Q18&gt;0,'Prof Triangle'!R18/'Prof Triangle'!Q18,"")</f>
        <v/>
      </c>
      <c r="R18" s="10">
        <f>IF('Prof Triangle'!R18&gt;0,'Prof Triangle'!S18/'Prof Triangle'!R18,"")</f>
        <v/>
      </c>
      <c r="S18" s="10">
        <f>IF('Prof Triangle'!S18&gt;0,'Prof Triangle'!T18/'Prof Triangle'!S18,"")</f>
        <v/>
      </c>
      <c r="T18" s="10">
        <f>IF('Prof Triangle'!T18&gt;0,'Prof Triangle'!U18/'Prof Triangle'!T18,"")</f>
        <v/>
      </c>
      <c r="U18" s="10">
        <f>IF('Prof Triangle'!U18&gt;0,'Prof Triangle'!V18/'Prof Triangle'!U18,"")</f>
        <v/>
      </c>
      <c r="V18" s="10">
        <f>IF('Prof Triangle'!V18&gt;0,'Prof Triangle'!W18/'Prof Triangle'!V18,"")</f>
        <v/>
      </c>
      <c r="W18" s="10">
        <f>IF('Prof Triangle'!W18&gt;0,'Prof Triangle'!X18/'Prof Triangle'!W18,"")</f>
        <v/>
      </c>
      <c r="X18" s="10">
        <f>IF('Prof Triangle'!X18&gt;0,'Prof Triangle'!Y18/'Prof Triangle'!X18,"")</f>
        <v/>
      </c>
      <c r="Y18" s="10">
        <f>IF('Prof Triangle'!Y18&gt;0,'Prof Triangle'!Z18/'Prof Triangle'!Y18,"")</f>
        <v/>
      </c>
      <c r="Z18" s="11">
        <f>IF('Prof Triangle'!Z18&gt;0,'Prof Triangle'!AA18/'Prof Triangle'!Z18,"")</f>
        <v/>
      </c>
      <c r="AA18" s="11">
        <f>IF('Prof Triangle'!AA18&gt;0,'Prof Triangle'!AB18/'Prof Triangle'!AA18,"")</f>
        <v/>
      </c>
      <c r="AB18" s="10">
        <f>IF('Prof Triangle'!AB18&gt;0,'Prof Triangle'!AC18/'Prof Triangle'!AB18,"")</f>
        <v/>
      </c>
      <c r="AC18" s="10">
        <f>IF('Prof Triangle'!AC18&gt;0,'Prof Triangle'!AD18/'Prof Triangle'!AC18,"")</f>
        <v/>
      </c>
    </row>
    <row r="19">
      <c r="A19" s="6" t="inlineStr">
        <is>
          <t>2024-06</t>
        </is>
      </c>
      <c r="B19" s="10">
        <f>IF('Prof Triangle'!B19&gt;0,'Prof Triangle'!C19/'Prof Triangle'!B19,"")</f>
        <v/>
      </c>
      <c r="C19" s="10">
        <f>IF('Prof Triangle'!C19&gt;0,'Prof Triangle'!D19/'Prof Triangle'!C19,"")</f>
        <v/>
      </c>
      <c r="D19" s="10">
        <f>IF('Prof Triangle'!D19&gt;0,'Prof Triangle'!E19/'Prof Triangle'!D19,"")</f>
        <v/>
      </c>
      <c r="E19" s="10">
        <f>IF('Prof Triangle'!E19&gt;0,'Prof Triangle'!F19/'Prof Triangle'!E19,"")</f>
        <v/>
      </c>
      <c r="F19" s="10">
        <f>IF('Prof Triangle'!F19&gt;0,'Prof Triangle'!G19/'Prof Triangle'!F19,"")</f>
        <v/>
      </c>
      <c r="G19" s="10">
        <f>IF('Prof Triangle'!G19&gt;0,'Prof Triangle'!H19/'Prof Triangle'!G19,"")</f>
        <v/>
      </c>
      <c r="H19" s="10">
        <f>IF('Prof Triangle'!H19&gt;0,'Prof Triangle'!I19/'Prof Triangle'!H19,"")</f>
        <v/>
      </c>
      <c r="I19" s="10">
        <f>IF('Prof Triangle'!I19&gt;0,'Prof Triangle'!J19/'Prof Triangle'!I19,"")</f>
        <v/>
      </c>
      <c r="J19" s="10">
        <f>IF('Prof Triangle'!J19&gt;0,'Prof Triangle'!K19/'Prof Triangle'!J19,"")</f>
        <v/>
      </c>
      <c r="K19" s="10">
        <f>IF('Prof Triangle'!K19&gt;0,'Prof Triangle'!L19/'Prof Triangle'!K19,"")</f>
        <v/>
      </c>
      <c r="L19" s="10">
        <f>IF('Prof Triangle'!L19&gt;0,'Prof Triangle'!M19/'Prof Triangle'!L19,"")</f>
        <v/>
      </c>
      <c r="M19" s="10">
        <f>IF('Prof Triangle'!M19&gt;0,'Prof Triangle'!N19/'Prof Triangle'!M19,"")</f>
        <v/>
      </c>
      <c r="N19" s="10">
        <f>IF('Prof Triangle'!N19&gt;0,'Prof Triangle'!O19/'Prof Triangle'!N19,"")</f>
        <v/>
      </c>
      <c r="O19" s="10">
        <f>IF('Prof Triangle'!O19&gt;0,'Prof Triangle'!P19/'Prof Triangle'!O19,"")</f>
        <v/>
      </c>
      <c r="P19" s="10">
        <f>IF('Prof Triangle'!P19&gt;0,'Prof Triangle'!Q19/'Prof Triangle'!P19,"")</f>
        <v/>
      </c>
      <c r="Q19" s="10">
        <f>IF('Prof Triangle'!Q19&gt;0,'Prof Triangle'!R19/'Prof Triangle'!Q19,"")</f>
        <v/>
      </c>
      <c r="R19" s="10">
        <f>IF('Prof Triangle'!R19&gt;0,'Prof Triangle'!S19/'Prof Triangle'!R19,"")</f>
        <v/>
      </c>
      <c r="S19" s="10">
        <f>IF('Prof Triangle'!S19&gt;0,'Prof Triangle'!T19/'Prof Triangle'!S19,"")</f>
        <v/>
      </c>
      <c r="T19" s="10">
        <f>IF('Prof Triangle'!T19&gt;0,'Prof Triangle'!U19/'Prof Triangle'!T19,"")</f>
        <v/>
      </c>
      <c r="U19" s="10">
        <f>IF('Prof Triangle'!U19&gt;0,'Prof Triangle'!V19/'Prof Triangle'!U19,"")</f>
        <v/>
      </c>
      <c r="V19" s="10">
        <f>IF('Prof Triangle'!V19&gt;0,'Prof Triangle'!W19/'Prof Triangle'!V19,"")</f>
        <v/>
      </c>
      <c r="W19" s="10">
        <f>IF('Prof Triangle'!W19&gt;0,'Prof Triangle'!X19/'Prof Triangle'!W19,"")</f>
        <v/>
      </c>
      <c r="X19" s="10">
        <f>IF('Prof Triangle'!X19&gt;0,'Prof Triangle'!Y19/'Prof Triangle'!X19,"")</f>
        <v/>
      </c>
      <c r="Y19" s="11">
        <f>IF('Prof Triangle'!Y19&gt;0,'Prof Triangle'!Z19/'Prof Triangle'!Y19,"")</f>
        <v/>
      </c>
      <c r="Z19" s="11">
        <f>IF('Prof Triangle'!Z19&gt;0,'Prof Triangle'!AA19/'Prof Triangle'!Z19,"")</f>
        <v/>
      </c>
      <c r="AA19" s="10">
        <f>IF('Prof Triangle'!AA19&gt;0,'Prof Triangle'!AB19/'Prof Triangle'!AA19,"")</f>
        <v/>
      </c>
      <c r="AB19" s="10">
        <f>IF('Prof Triangle'!AB19&gt;0,'Prof Triangle'!AC19/'Prof Triangle'!AB19,"")</f>
        <v/>
      </c>
    </row>
    <row r="20">
      <c r="A20" s="6" t="inlineStr">
        <is>
          <t>2024-07</t>
        </is>
      </c>
      <c r="B20" s="10">
        <f>IF('Prof Triangle'!B20&gt;0,'Prof Triangle'!C20/'Prof Triangle'!B20,"")</f>
        <v/>
      </c>
      <c r="C20" s="10">
        <f>IF('Prof Triangle'!C20&gt;0,'Prof Triangle'!D20/'Prof Triangle'!C20,"")</f>
        <v/>
      </c>
      <c r="D20" s="10">
        <f>IF('Prof Triangle'!D20&gt;0,'Prof Triangle'!E20/'Prof Triangle'!D20,"")</f>
        <v/>
      </c>
      <c r="E20" s="10">
        <f>IF('Prof Triangle'!E20&gt;0,'Prof Triangle'!F20/'Prof Triangle'!E20,"")</f>
        <v/>
      </c>
      <c r="F20" s="10">
        <f>IF('Prof Triangle'!F20&gt;0,'Prof Triangle'!G20/'Prof Triangle'!F20,"")</f>
        <v/>
      </c>
      <c r="G20" s="10">
        <f>IF('Prof Triangle'!G20&gt;0,'Prof Triangle'!H20/'Prof Triangle'!G20,"")</f>
        <v/>
      </c>
      <c r="H20" s="10">
        <f>IF('Prof Triangle'!H20&gt;0,'Prof Triangle'!I20/'Prof Triangle'!H20,"")</f>
        <v/>
      </c>
      <c r="I20" s="10">
        <f>IF('Prof Triangle'!I20&gt;0,'Prof Triangle'!J20/'Prof Triangle'!I20,"")</f>
        <v/>
      </c>
      <c r="J20" s="10">
        <f>IF('Prof Triangle'!J20&gt;0,'Prof Triangle'!K20/'Prof Triangle'!J20,"")</f>
        <v/>
      </c>
      <c r="K20" s="10">
        <f>IF('Prof Triangle'!K20&gt;0,'Prof Triangle'!L20/'Prof Triangle'!K20,"")</f>
        <v/>
      </c>
      <c r="L20" s="10">
        <f>IF('Prof Triangle'!L20&gt;0,'Prof Triangle'!M20/'Prof Triangle'!L20,"")</f>
        <v/>
      </c>
      <c r="M20" s="10">
        <f>IF('Prof Triangle'!M20&gt;0,'Prof Triangle'!N20/'Prof Triangle'!M20,"")</f>
        <v/>
      </c>
      <c r="N20" s="10">
        <f>IF('Prof Triangle'!N20&gt;0,'Prof Triangle'!O20/'Prof Triangle'!N20,"")</f>
        <v/>
      </c>
      <c r="O20" s="10">
        <f>IF('Prof Triangle'!O20&gt;0,'Prof Triangle'!P20/'Prof Triangle'!O20,"")</f>
        <v/>
      </c>
      <c r="P20" s="10">
        <f>IF('Prof Triangle'!P20&gt;0,'Prof Triangle'!Q20/'Prof Triangle'!P20,"")</f>
        <v/>
      </c>
      <c r="Q20" s="10">
        <f>IF('Prof Triangle'!Q20&gt;0,'Prof Triangle'!R20/'Prof Triangle'!Q20,"")</f>
        <v/>
      </c>
      <c r="R20" s="10">
        <f>IF('Prof Triangle'!R20&gt;0,'Prof Triangle'!S20/'Prof Triangle'!R20,"")</f>
        <v/>
      </c>
      <c r="S20" s="10">
        <f>IF('Prof Triangle'!S20&gt;0,'Prof Triangle'!T20/'Prof Triangle'!S20,"")</f>
        <v/>
      </c>
      <c r="T20" s="10">
        <f>IF('Prof Triangle'!T20&gt;0,'Prof Triangle'!U20/'Prof Triangle'!T20,"")</f>
        <v/>
      </c>
      <c r="U20" s="10">
        <f>IF('Prof Triangle'!U20&gt;0,'Prof Triangle'!V20/'Prof Triangle'!U20,"")</f>
        <v/>
      </c>
      <c r="V20" s="10">
        <f>IF('Prof Triangle'!V20&gt;0,'Prof Triangle'!W20/'Prof Triangle'!V20,"")</f>
        <v/>
      </c>
      <c r="W20" s="10">
        <f>IF('Prof Triangle'!W20&gt;0,'Prof Triangle'!X20/'Prof Triangle'!W20,"")</f>
        <v/>
      </c>
      <c r="X20" s="11">
        <f>IF('Prof Triangle'!X20&gt;0,'Prof Triangle'!Y20/'Prof Triangle'!X20,"")</f>
        <v/>
      </c>
      <c r="Y20" s="11">
        <f>IF('Prof Triangle'!Y20&gt;0,'Prof Triangle'!Z20/'Prof Triangle'!Y20,"")</f>
        <v/>
      </c>
      <c r="Z20" s="10">
        <f>IF('Prof Triangle'!Z20&gt;0,'Prof Triangle'!AA20/'Prof Triangle'!Z20,"")</f>
        <v/>
      </c>
      <c r="AA20" s="10">
        <f>IF('Prof Triangle'!AA20&gt;0,'Prof Triangle'!AB20/'Prof Triangle'!AA20,"")</f>
        <v/>
      </c>
    </row>
    <row r="21">
      <c r="A21" s="6" t="inlineStr">
        <is>
          <t>2024-08</t>
        </is>
      </c>
      <c r="B21" s="10">
        <f>IF('Prof Triangle'!B21&gt;0,'Prof Triangle'!C21/'Prof Triangle'!B21,"")</f>
        <v/>
      </c>
      <c r="C21" s="10">
        <f>IF('Prof Triangle'!C21&gt;0,'Prof Triangle'!D21/'Prof Triangle'!C21,"")</f>
        <v/>
      </c>
      <c r="D21" s="10">
        <f>IF('Prof Triangle'!D21&gt;0,'Prof Triangle'!E21/'Prof Triangle'!D21,"")</f>
        <v/>
      </c>
      <c r="E21" s="10">
        <f>IF('Prof Triangle'!E21&gt;0,'Prof Triangle'!F21/'Prof Triangle'!E21,"")</f>
        <v/>
      </c>
      <c r="F21" s="10">
        <f>IF('Prof Triangle'!F21&gt;0,'Prof Triangle'!G21/'Prof Triangle'!F21,"")</f>
        <v/>
      </c>
      <c r="G21" s="10">
        <f>IF('Prof Triangle'!G21&gt;0,'Prof Triangle'!H21/'Prof Triangle'!G21,"")</f>
        <v/>
      </c>
      <c r="H21" s="10">
        <f>IF('Prof Triangle'!H21&gt;0,'Prof Triangle'!I21/'Prof Triangle'!H21,"")</f>
        <v/>
      </c>
      <c r="I21" s="10">
        <f>IF('Prof Triangle'!I21&gt;0,'Prof Triangle'!J21/'Prof Triangle'!I21,"")</f>
        <v/>
      </c>
      <c r="J21" s="10">
        <f>IF('Prof Triangle'!J21&gt;0,'Prof Triangle'!K21/'Prof Triangle'!J21,"")</f>
        <v/>
      </c>
      <c r="K21" s="10">
        <f>IF('Prof Triangle'!K21&gt;0,'Prof Triangle'!L21/'Prof Triangle'!K21,"")</f>
        <v/>
      </c>
      <c r="L21" s="10">
        <f>IF('Prof Triangle'!L21&gt;0,'Prof Triangle'!M21/'Prof Triangle'!L21,"")</f>
        <v/>
      </c>
      <c r="M21" s="10">
        <f>IF('Prof Triangle'!M21&gt;0,'Prof Triangle'!N21/'Prof Triangle'!M21,"")</f>
        <v/>
      </c>
      <c r="N21" s="10">
        <f>IF('Prof Triangle'!N21&gt;0,'Prof Triangle'!O21/'Prof Triangle'!N21,"")</f>
        <v/>
      </c>
      <c r="O21" s="10">
        <f>IF('Prof Triangle'!O21&gt;0,'Prof Triangle'!P21/'Prof Triangle'!O21,"")</f>
        <v/>
      </c>
      <c r="P21" s="10">
        <f>IF('Prof Triangle'!P21&gt;0,'Prof Triangle'!Q21/'Prof Triangle'!P21,"")</f>
        <v/>
      </c>
      <c r="Q21" s="10">
        <f>IF('Prof Triangle'!Q21&gt;0,'Prof Triangle'!R21/'Prof Triangle'!Q21,"")</f>
        <v/>
      </c>
      <c r="R21" s="10">
        <f>IF('Prof Triangle'!R21&gt;0,'Prof Triangle'!S21/'Prof Triangle'!R21,"")</f>
        <v/>
      </c>
      <c r="S21" s="10">
        <f>IF('Prof Triangle'!S21&gt;0,'Prof Triangle'!T21/'Prof Triangle'!S21,"")</f>
        <v/>
      </c>
      <c r="T21" s="10">
        <f>IF('Prof Triangle'!T21&gt;0,'Prof Triangle'!U21/'Prof Triangle'!T21,"")</f>
        <v/>
      </c>
      <c r="U21" s="10">
        <f>IF('Prof Triangle'!U21&gt;0,'Prof Triangle'!V21/'Prof Triangle'!U21,"")</f>
        <v/>
      </c>
      <c r="V21" s="10">
        <f>IF('Prof Triangle'!V21&gt;0,'Prof Triangle'!W21/'Prof Triangle'!V21,"")</f>
        <v/>
      </c>
      <c r="W21" s="11">
        <f>IF('Prof Triangle'!W21&gt;0,'Prof Triangle'!X21/'Prof Triangle'!W21,"")</f>
        <v/>
      </c>
      <c r="X21" s="11">
        <f>IF('Prof Triangle'!X21&gt;0,'Prof Triangle'!Y21/'Prof Triangle'!X21,"")</f>
        <v/>
      </c>
      <c r="Y21" s="10">
        <f>IF('Prof Triangle'!Y21&gt;0,'Prof Triangle'!Z21/'Prof Triangle'!Y21,"")</f>
        <v/>
      </c>
      <c r="Z21" s="10">
        <f>IF('Prof Triangle'!Z21&gt;0,'Prof Triangle'!AA21/'Prof Triangle'!Z21,"")</f>
        <v/>
      </c>
    </row>
    <row r="22">
      <c r="A22" s="6" t="inlineStr">
        <is>
          <t>2024-09</t>
        </is>
      </c>
      <c r="B22" s="10">
        <f>IF('Prof Triangle'!B22&gt;0,'Prof Triangle'!C22/'Prof Triangle'!B22,"")</f>
        <v/>
      </c>
      <c r="C22" s="10">
        <f>IF('Prof Triangle'!C22&gt;0,'Prof Triangle'!D22/'Prof Triangle'!C22,"")</f>
        <v/>
      </c>
      <c r="D22" s="10">
        <f>IF('Prof Triangle'!D22&gt;0,'Prof Triangle'!E22/'Prof Triangle'!D22,"")</f>
        <v/>
      </c>
      <c r="E22" s="10">
        <f>IF('Prof Triangle'!E22&gt;0,'Prof Triangle'!F22/'Prof Triangle'!E22,"")</f>
        <v/>
      </c>
      <c r="F22" s="10">
        <f>IF('Prof Triangle'!F22&gt;0,'Prof Triangle'!G22/'Prof Triangle'!F22,"")</f>
        <v/>
      </c>
      <c r="G22" s="10">
        <f>IF('Prof Triangle'!G22&gt;0,'Prof Triangle'!H22/'Prof Triangle'!G22,"")</f>
        <v/>
      </c>
      <c r="H22" s="10">
        <f>IF('Prof Triangle'!H22&gt;0,'Prof Triangle'!I22/'Prof Triangle'!H22,"")</f>
        <v/>
      </c>
      <c r="I22" s="10">
        <f>IF('Prof Triangle'!I22&gt;0,'Prof Triangle'!J22/'Prof Triangle'!I22,"")</f>
        <v/>
      </c>
      <c r="J22" s="10">
        <f>IF('Prof Triangle'!J22&gt;0,'Prof Triangle'!K22/'Prof Triangle'!J22,"")</f>
        <v/>
      </c>
      <c r="K22" s="10">
        <f>IF('Prof Triangle'!K22&gt;0,'Prof Triangle'!L22/'Prof Triangle'!K22,"")</f>
        <v/>
      </c>
      <c r="L22" s="10">
        <f>IF('Prof Triangle'!L22&gt;0,'Prof Triangle'!M22/'Prof Triangle'!L22,"")</f>
        <v/>
      </c>
      <c r="M22" s="10">
        <f>IF('Prof Triangle'!M22&gt;0,'Prof Triangle'!N22/'Prof Triangle'!M22,"")</f>
        <v/>
      </c>
      <c r="N22" s="10">
        <f>IF('Prof Triangle'!N22&gt;0,'Prof Triangle'!O22/'Prof Triangle'!N22,"")</f>
        <v/>
      </c>
      <c r="O22" s="10">
        <f>IF('Prof Triangle'!O22&gt;0,'Prof Triangle'!P22/'Prof Triangle'!O22,"")</f>
        <v/>
      </c>
      <c r="P22" s="10">
        <f>IF('Prof Triangle'!P22&gt;0,'Prof Triangle'!Q22/'Prof Triangle'!P22,"")</f>
        <v/>
      </c>
      <c r="Q22" s="10">
        <f>IF('Prof Triangle'!Q22&gt;0,'Prof Triangle'!R22/'Prof Triangle'!Q22,"")</f>
        <v/>
      </c>
      <c r="R22" s="10">
        <f>IF('Prof Triangle'!R22&gt;0,'Prof Triangle'!S22/'Prof Triangle'!R22,"")</f>
        <v/>
      </c>
      <c r="S22" s="10">
        <f>IF('Prof Triangle'!S22&gt;0,'Prof Triangle'!T22/'Prof Triangle'!S22,"")</f>
        <v/>
      </c>
      <c r="T22" s="10">
        <f>IF('Prof Triangle'!T22&gt;0,'Prof Triangle'!U22/'Prof Triangle'!T22,"")</f>
        <v/>
      </c>
      <c r="U22" s="10">
        <f>IF('Prof Triangle'!U22&gt;0,'Prof Triangle'!V22/'Prof Triangle'!U22,"")</f>
        <v/>
      </c>
      <c r="V22" s="11">
        <f>IF('Prof Triangle'!V22&gt;0,'Prof Triangle'!W22/'Prof Triangle'!V22,"")</f>
        <v/>
      </c>
      <c r="W22" s="11">
        <f>IF('Prof Triangle'!W22&gt;0,'Prof Triangle'!X22/'Prof Triangle'!W22,"")</f>
        <v/>
      </c>
      <c r="X22" s="10">
        <f>IF('Prof Triangle'!X22&gt;0,'Prof Triangle'!Y22/'Prof Triangle'!X22,"")</f>
        <v/>
      </c>
      <c r="Y22" s="10">
        <f>IF('Prof Triangle'!Y22&gt;0,'Prof Triangle'!Z22/'Prof Triangle'!Y22,"")</f>
        <v/>
      </c>
    </row>
    <row r="23">
      <c r="A23" s="6" t="inlineStr">
        <is>
          <t>2024-10</t>
        </is>
      </c>
      <c r="B23" s="10">
        <f>IF('Prof Triangle'!B23&gt;0,'Prof Triangle'!C23/'Prof Triangle'!B23,"")</f>
        <v/>
      </c>
      <c r="C23" s="10">
        <f>IF('Prof Triangle'!C23&gt;0,'Prof Triangle'!D23/'Prof Triangle'!C23,"")</f>
        <v/>
      </c>
      <c r="D23" s="10">
        <f>IF('Prof Triangle'!D23&gt;0,'Prof Triangle'!E23/'Prof Triangle'!D23,"")</f>
        <v/>
      </c>
      <c r="E23" s="10">
        <f>IF('Prof Triangle'!E23&gt;0,'Prof Triangle'!F23/'Prof Triangle'!E23,"")</f>
        <v/>
      </c>
      <c r="F23" s="10">
        <f>IF('Prof Triangle'!F23&gt;0,'Prof Triangle'!G23/'Prof Triangle'!F23,"")</f>
        <v/>
      </c>
      <c r="G23" s="10">
        <f>IF('Prof Triangle'!G23&gt;0,'Prof Triangle'!H23/'Prof Triangle'!G23,"")</f>
        <v/>
      </c>
      <c r="H23" s="10">
        <f>IF('Prof Triangle'!H23&gt;0,'Prof Triangle'!I23/'Prof Triangle'!H23,"")</f>
        <v/>
      </c>
      <c r="I23" s="10">
        <f>IF('Prof Triangle'!I23&gt;0,'Prof Triangle'!J23/'Prof Triangle'!I23,"")</f>
        <v/>
      </c>
      <c r="J23" s="10">
        <f>IF('Prof Triangle'!J23&gt;0,'Prof Triangle'!K23/'Prof Triangle'!J23,"")</f>
        <v/>
      </c>
      <c r="K23" s="10">
        <f>IF('Prof Triangle'!K23&gt;0,'Prof Triangle'!L23/'Prof Triangle'!K23,"")</f>
        <v/>
      </c>
      <c r="L23" s="10">
        <f>IF('Prof Triangle'!L23&gt;0,'Prof Triangle'!M23/'Prof Triangle'!L23,"")</f>
        <v/>
      </c>
      <c r="M23" s="10">
        <f>IF('Prof Triangle'!M23&gt;0,'Prof Triangle'!N23/'Prof Triangle'!M23,"")</f>
        <v/>
      </c>
      <c r="N23" s="10">
        <f>IF('Prof Triangle'!N23&gt;0,'Prof Triangle'!O23/'Prof Triangle'!N23,"")</f>
        <v/>
      </c>
      <c r="O23" s="10">
        <f>IF('Prof Triangle'!O23&gt;0,'Prof Triangle'!P23/'Prof Triangle'!O23,"")</f>
        <v/>
      </c>
      <c r="P23" s="10">
        <f>IF('Prof Triangle'!P23&gt;0,'Prof Triangle'!Q23/'Prof Triangle'!P23,"")</f>
        <v/>
      </c>
      <c r="Q23" s="10">
        <f>IF('Prof Triangle'!Q23&gt;0,'Prof Triangle'!R23/'Prof Triangle'!Q23,"")</f>
        <v/>
      </c>
      <c r="R23" s="10">
        <f>IF('Prof Triangle'!R23&gt;0,'Prof Triangle'!S23/'Prof Triangle'!R23,"")</f>
        <v/>
      </c>
      <c r="S23" s="10">
        <f>IF('Prof Triangle'!S23&gt;0,'Prof Triangle'!T23/'Prof Triangle'!S23,"")</f>
        <v/>
      </c>
      <c r="T23" s="10">
        <f>IF('Prof Triangle'!T23&gt;0,'Prof Triangle'!U23/'Prof Triangle'!T23,"")</f>
        <v/>
      </c>
      <c r="U23" s="11">
        <f>IF('Prof Triangle'!U23&gt;0,'Prof Triangle'!V23/'Prof Triangle'!U23,"")</f>
        <v/>
      </c>
      <c r="V23" s="11">
        <f>IF('Prof Triangle'!V23&gt;0,'Prof Triangle'!W23/'Prof Triangle'!V23,"")</f>
        <v/>
      </c>
      <c r="W23" s="10">
        <f>IF('Prof Triangle'!W23&gt;0,'Prof Triangle'!X23/'Prof Triangle'!W23,"")</f>
        <v/>
      </c>
      <c r="X23" s="10">
        <f>IF('Prof Triangle'!X23&gt;0,'Prof Triangle'!Y23/'Prof Triangle'!X23,"")</f>
        <v/>
      </c>
    </row>
    <row r="24">
      <c r="A24" s="6" t="inlineStr">
        <is>
          <t>2024-11</t>
        </is>
      </c>
      <c r="B24" s="10">
        <f>IF('Prof Triangle'!B24&gt;0,'Prof Triangle'!C24/'Prof Triangle'!B24,"")</f>
        <v/>
      </c>
      <c r="C24" s="10">
        <f>IF('Prof Triangle'!C24&gt;0,'Prof Triangle'!D24/'Prof Triangle'!C24,"")</f>
        <v/>
      </c>
      <c r="D24" s="10">
        <f>IF('Prof Triangle'!D24&gt;0,'Prof Triangle'!E24/'Prof Triangle'!D24,"")</f>
        <v/>
      </c>
      <c r="E24" s="10">
        <f>IF('Prof Triangle'!E24&gt;0,'Prof Triangle'!F24/'Prof Triangle'!E24,"")</f>
        <v/>
      </c>
      <c r="F24" s="10">
        <f>IF('Prof Triangle'!F24&gt;0,'Prof Triangle'!G24/'Prof Triangle'!F24,"")</f>
        <v/>
      </c>
      <c r="G24" s="10">
        <f>IF('Prof Triangle'!G24&gt;0,'Prof Triangle'!H24/'Prof Triangle'!G24,"")</f>
        <v/>
      </c>
      <c r="H24" s="10">
        <f>IF('Prof Triangle'!H24&gt;0,'Prof Triangle'!I24/'Prof Triangle'!H24,"")</f>
        <v/>
      </c>
      <c r="I24" s="10">
        <f>IF('Prof Triangle'!I24&gt;0,'Prof Triangle'!J24/'Prof Triangle'!I24,"")</f>
        <v/>
      </c>
      <c r="J24" s="10">
        <f>IF('Prof Triangle'!J24&gt;0,'Prof Triangle'!K24/'Prof Triangle'!J24,"")</f>
        <v/>
      </c>
      <c r="K24" s="10">
        <f>IF('Prof Triangle'!K24&gt;0,'Prof Triangle'!L24/'Prof Triangle'!K24,"")</f>
        <v/>
      </c>
      <c r="L24" s="10">
        <f>IF('Prof Triangle'!L24&gt;0,'Prof Triangle'!M24/'Prof Triangle'!L24,"")</f>
        <v/>
      </c>
      <c r="M24" s="10">
        <f>IF('Prof Triangle'!M24&gt;0,'Prof Triangle'!N24/'Prof Triangle'!M24,"")</f>
        <v/>
      </c>
      <c r="N24" s="10">
        <f>IF('Prof Triangle'!N24&gt;0,'Prof Triangle'!O24/'Prof Triangle'!N24,"")</f>
        <v/>
      </c>
      <c r="O24" s="10">
        <f>IF('Prof Triangle'!O24&gt;0,'Prof Triangle'!P24/'Prof Triangle'!O24,"")</f>
        <v/>
      </c>
      <c r="P24" s="10">
        <f>IF('Prof Triangle'!P24&gt;0,'Prof Triangle'!Q24/'Prof Triangle'!P24,"")</f>
        <v/>
      </c>
      <c r="Q24" s="10">
        <f>IF('Prof Triangle'!Q24&gt;0,'Prof Triangle'!R24/'Prof Triangle'!Q24,"")</f>
        <v/>
      </c>
      <c r="R24" s="10">
        <f>IF('Prof Triangle'!R24&gt;0,'Prof Triangle'!S24/'Prof Triangle'!R24,"")</f>
        <v/>
      </c>
      <c r="S24" s="10">
        <f>IF('Prof Triangle'!S24&gt;0,'Prof Triangle'!T24/'Prof Triangle'!S24,"")</f>
        <v/>
      </c>
      <c r="T24" s="11">
        <f>IF('Prof Triangle'!T24&gt;0,'Prof Triangle'!U24/'Prof Triangle'!T24,"")</f>
        <v/>
      </c>
      <c r="U24" s="11">
        <f>IF('Prof Triangle'!U24&gt;0,'Prof Triangle'!V24/'Prof Triangle'!U24,"")</f>
        <v/>
      </c>
      <c r="V24" s="10">
        <f>IF('Prof Triangle'!V24&gt;0,'Prof Triangle'!W24/'Prof Triangle'!V24,"")</f>
        <v/>
      </c>
      <c r="W24" s="10">
        <f>IF('Prof Triangle'!W24&gt;0,'Prof Triangle'!X24/'Prof Triangle'!W24,"")</f>
        <v/>
      </c>
    </row>
    <row r="25">
      <c r="A25" s="6" t="inlineStr">
        <is>
          <t>2024-12</t>
        </is>
      </c>
      <c r="B25" s="10">
        <f>IF('Prof Triangle'!B25&gt;0,'Prof Triangle'!C25/'Prof Triangle'!B25,"")</f>
        <v/>
      </c>
      <c r="C25" s="10">
        <f>IF('Prof Triangle'!C25&gt;0,'Prof Triangle'!D25/'Prof Triangle'!C25,"")</f>
        <v/>
      </c>
      <c r="D25" s="10">
        <f>IF('Prof Triangle'!D25&gt;0,'Prof Triangle'!E25/'Prof Triangle'!D25,"")</f>
        <v/>
      </c>
      <c r="E25" s="10">
        <f>IF('Prof Triangle'!E25&gt;0,'Prof Triangle'!F25/'Prof Triangle'!E25,"")</f>
        <v/>
      </c>
      <c r="F25" s="10">
        <f>IF('Prof Triangle'!F25&gt;0,'Prof Triangle'!G25/'Prof Triangle'!F25,"")</f>
        <v/>
      </c>
      <c r="G25" s="10">
        <f>IF('Prof Triangle'!G25&gt;0,'Prof Triangle'!H25/'Prof Triangle'!G25,"")</f>
        <v/>
      </c>
      <c r="H25" s="10">
        <f>IF('Prof Triangle'!H25&gt;0,'Prof Triangle'!I25/'Prof Triangle'!H25,"")</f>
        <v/>
      </c>
      <c r="I25" s="10">
        <f>IF('Prof Triangle'!I25&gt;0,'Prof Triangle'!J25/'Prof Triangle'!I25,"")</f>
        <v/>
      </c>
      <c r="J25" s="10">
        <f>IF('Prof Triangle'!J25&gt;0,'Prof Triangle'!K25/'Prof Triangle'!J25,"")</f>
        <v/>
      </c>
      <c r="K25" s="10">
        <f>IF('Prof Triangle'!K25&gt;0,'Prof Triangle'!L25/'Prof Triangle'!K25,"")</f>
        <v/>
      </c>
      <c r="L25" s="10">
        <f>IF('Prof Triangle'!L25&gt;0,'Prof Triangle'!M25/'Prof Triangle'!L25,"")</f>
        <v/>
      </c>
      <c r="M25" s="10">
        <f>IF('Prof Triangle'!M25&gt;0,'Prof Triangle'!N25/'Prof Triangle'!M25,"")</f>
        <v/>
      </c>
      <c r="N25" s="10">
        <f>IF('Prof Triangle'!N25&gt;0,'Prof Triangle'!O25/'Prof Triangle'!N25,"")</f>
        <v/>
      </c>
      <c r="O25" s="10">
        <f>IF('Prof Triangle'!O25&gt;0,'Prof Triangle'!P25/'Prof Triangle'!O25,"")</f>
        <v/>
      </c>
      <c r="P25" s="10">
        <f>IF('Prof Triangle'!P25&gt;0,'Prof Triangle'!Q25/'Prof Triangle'!P25,"")</f>
        <v/>
      </c>
      <c r="Q25" s="10">
        <f>IF('Prof Triangle'!Q25&gt;0,'Prof Triangle'!R25/'Prof Triangle'!Q25,"")</f>
        <v/>
      </c>
      <c r="R25" s="10">
        <f>IF('Prof Triangle'!R25&gt;0,'Prof Triangle'!S25/'Prof Triangle'!R25,"")</f>
        <v/>
      </c>
      <c r="S25" s="11">
        <f>IF('Prof Triangle'!S25&gt;0,'Prof Triangle'!T25/'Prof Triangle'!S25,"")</f>
        <v/>
      </c>
      <c r="T25" s="11">
        <f>IF('Prof Triangle'!T25&gt;0,'Prof Triangle'!U25/'Prof Triangle'!T25,"")</f>
        <v/>
      </c>
      <c r="U25" s="10">
        <f>IF('Prof Triangle'!U25&gt;0,'Prof Triangle'!V25/'Prof Triangle'!U25,"")</f>
        <v/>
      </c>
      <c r="V25" s="10">
        <f>IF('Prof Triangle'!V25&gt;0,'Prof Triangle'!W25/'Prof Triangle'!V25,"")</f>
        <v/>
      </c>
    </row>
    <row r="26">
      <c r="A26" s="6" t="inlineStr">
        <is>
          <t>2025-01</t>
        </is>
      </c>
      <c r="B26" s="10">
        <f>IF('Prof Triangle'!B26&gt;0,'Prof Triangle'!C26/'Prof Triangle'!B26,"")</f>
        <v/>
      </c>
      <c r="C26" s="10">
        <f>IF('Prof Triangle'!C26&gt;0,'Prof Triangle'!D26/'Prof Triangle'!C26,"")</f>
        <v/>
      </c>
      <c r="D26" s="10">
        <f>IF('Prof Triangle'!D26&gt;0,'Prof Triangle'!E26/'Prof Triangle'!D26,"")</f>
        <v/>
      </c>
      <c r="E26" s="10">
        <f>IF('Prof Triangle'!E26&gt;0,'Prof Triangle'!F26/'Prof Triangle'!E26,"")</f>
        <v/>
      </c>
      <c r="F26" s="10">
        <f>IF('Prof Triangle'!F26&gt;0,'Prof Triangle'!G26/'Prof Triangle'!F26,"")</f>
        <v/>
      </c>
      <c r="G26" s="10">
        <f>IF('Prof Triangle'!G26&gt;0,'Prof Triangle'!H26/'Prof Triangle'!G26,"")</f>
        <v/>
      </c>
      <c r="H26" s="10">
        <f>IF('Prof Triangle'!H26&gt;0,'Prof Triangle'!I26/'Prof Triangle'!H26,"")</f>
        <v/>
      </c>
      <c r="I26" s="10">
        <f>IF('Prof Triangle'!I26&gt;0,'Prof Triangle'!J26/'Prof Triangle'!I26,"")</f>
        <v/>
      </c>
      <c r="J26" s="10">
        <f>IF('Prof Triangle'!J26&gt;0,'Prof Triangle'!K26/'Prof Triangle'!J26,"")</f>
        <v/>
      </c>
      <c r="K26" s="10">
        <f>IF('Prof Triangle'!K26&gt;0,'Prof Triangle'!L26/'Prof Triangle'!K26,"")</f>
        <v/>
      </c>
      <c r="L26" s="10">
        <f>IF('Prof Triangle'!L26&gt;0,'Prof Triangle'!M26/'Prof Triangle'!L26,"")</f>
        <v/>
      </c>
      <c r="M26" s="10">
        <f>IF('Prof Triangle'!M26&gt;0,'Prof Triangle'!N26/'Prof Triangle'!M26,"")</f>
        <v/>
      </c>
      <c r="N26" s="10">
        <f>IF('Prof Triangle'!N26&gt;0,'Prof Triangle'!O26/'Prof Triangle'!N26,"")</f>
        <v/>
      </c>
      <c r="O26" s="10">
        <f>IF('Prof Triangle'!O26&gt;0,'Prof Triangle'!P26/'Prof Triangle'!O26,"")</f>
        <v/>
      </c>
      <c r="P26" s="10">
        <f>IF('Prof Triangle'!P26&gt;0,'Prof Triangle'!Q26/'Prof Triangle'!P26,"")</f>
        <v/>
      </c>
      <c r="Q26" s="10">
        <f>IF('Prof Triangle'!Q26&gt;0,'Prof Triangle'!R26/'Prof Triangle'!Q26,"")</f>
        <v/>
      </c>
      <c r="R26" s="11">
        <f>IF('Prof Triangle'!R26&gt;0,'Prof Triangle'!S26/'Prof Triangle'!R26,"")</f>
        <v/>
      </c>
      <c r="S26" s="11">
        <f>IF('Prof Triangle'!S26&gt;0,'Prof Triangle'!T26/'Prof Triangle'!S26,"")</f>
        <v/>
      </c>
      <c r="T26" s="10">
        <f>IF('Prof Triangle'!T26&gt;0,'Prof Triangle'!U26/'Prof Triangle'!T26,"")</f>
        <v/>
      </c>
      <c r="U26" s="10">
        <f>IF('Prof Triangle'!U26&gt;0,'Prof Triangle'!V26/'Prof Triangle'!U26,"")</f>
        <v/>
      </c>
    </row>
    <row r="27">
      <c r="A27" s="6" t="inlineStr">
        <is>
          <t>2025-02</t>
        </is>
      </c>
      <c r="B27" s="10">
        <f>IF('Prof Triangle'!B27&gt;0,'Prof Triangle'!C27/'Prof Triangle'!B27,"")</f>
        <v/>
      </c>
      <c r="C27" s="10">
        <f>IF('Prof Triangle'!C27&gt;0,'Prof Triangle'!D27/'Prof Triangle'!C27,"")</f>
        <v/>
      </c>
      <c r="D27" s="10">
        <f>IF('Prof Triangle'!D27&gt;0,'Prof Triangle'!E27/'Prof Triangle'!D27,"")</f>
        <v/>
      </c>
      <c r="E27" s="10">
        <f>IF('Prof Triangle'!E27&gt;0,'Prof Triangle'!F27/'Prof Triangle'!E27,"")</f>
        <v/>
      </c>
      <c r="F27" s="10">
        <f>IF('Prof Triangle'!F27&gt;0,'Prof Triangle'!G27/'Prof Triangle'!F27,"")</f>
        <v/>
      </c>
      <c r="G27" s="10">
        <f>IF('Prof Triangle'!G27&gt;0,'Prof Triangle'!H27/'Prof Triangle'!G27,"")</f>
        <v/>
      </c>
      <c r="H27" s="10">
        <f>IF('Prof Triangle'!H27&gt;0,'Prof Triangle'!I27/'Prof Triangle'!H27,"")</f>
        <v/>
      </c>
      <c r="I27" s="10">
        <f>IF('Prof Triangle'!I27&gt;0,'Prof Triangle'!J27/'Prof Triangle'!I27,"")</f>
        <v/>
      </c>
      <c r="J27" s="10">
        <f>IF('Prof Triangle'!J27&gt;0,'Prof Triangle'!K27/'Prof Triangle'!J27,"")</f>
        <v/>
      </c>
      <c r="K27" s="10">
        <f>IF('Prof Triangle'!K27&gt;0,'Prof Triangle'!L27/'Prof Triangle'!K27,"")</f>
        <v/>
      </c>
      <c r="L27" s="10">
        <f>IF('Prof Triangle'!L27&gt;0,'Prof Triangle'!M27/'Prof Triangle'!L27,"")</f>
        <v/>
      </c>
      <c r="M27" s="10">
        <f>IF('Prof Triangle'!M27&gt;0,'Prof Triangle'!N27/'Prof Triangle'!M27,"")</f>
        <v/>
      </c>
      <c r="N27" s="10">
        <f>IF('Prof Triangle'!N27&gt;0,'Prof Triangle'!O27/'Prof Triangle'!N27,"")</f>
        <v/>
      </c>
      <c r="O27" s="10">
        <f>IF('Prof Triangle'!O27&gt;0,'Prof Triangle'!P27/'Prof Triangle'!O27,"")</f>
        <v/>
      </c>
      <c r="P27" s="10">
        <f>IF('Prof Triangle'!P27&gt;0,'Prof Triangle'!Q27/'Prof Triangle'!P27,"")</f>
        <v/>
      </c>
      <c r="Q27" s="11">
        <f>IF('Prof Triangle'!Q27&gt;0,'Prof Triangle'!R27/'Prof Triangle'!Q27,"")</f>
        <v/>
      </c>
      <c r="R27" s="11">
        <f>IF('Prof Triangle'!R27&gt;0,'Prof Triangle'!S27/'Prof Triangle'!R27,"")</f>
        <v/>
      </c>
      <c r="S27" s="10">
        <f>IF('Prof Triangle'!S27&gt;0,'Prof Triangle'!T27/'Prof Triangle'!S27,"")</f>
        <v/>
      </c>
      <c r="T27" s="10">
        <f>IF('Prof Triangle'!T27&gt;0,'Prof Triangle'!U27/'Prof Triangle'!T27,"")</f>
        <v/>
      </c>
    </row>
    <row r="28">
      <c r="A28" s="6" t="inlineStr">
        <is>
          <t>2025-03</t>
        </is>
      </c>
      <c r="B28" s="10">
        <f>IF('Prof Triangle'!B28&gt;0,'Prof Triangle'!C28/'Prof Triangle'!B28,"")</f>
        <v/>
      </c>
      <c r="C28" s="10">
        <f>IF('Prof Triangle'!C28&gt;0,'Prof Triangle'!D28/'Prof Triangle'!C28,"")</f>
        <v/>
      </c>
      <c r="D28" s="10">
        <f>IF('Prof Triangle'!D28&gt;0,'Prof Triangle'!E28/'Prof Triangle'!D28,"")</f>
        <v/>
      </c>
      <c r="E28" s="10">
        <f>IF('Prof Triangle'!E28&gt;0,'Prof Triangle'!F28/'Prof Triangle'!E28,"")</f>
        <v/>
      </c>
      <c r="F28" s="10">
        <f>IF('Prof Triangle'!F28&gt;0,'Prof Triangle'!G28/'Prof Triangle'!F28,"")</f>
        <v/>
      </c>
      <c r="G28" s="10">
        <f>IF('Prof Triangle'!G28&gt;0,'Prof Triangle'!H28/'Prof Triangle'!G28,"")</f>
        <v/>
      </c>
      <c r="H28" s="10">
        <f>IF('Prof Triangle'!H28&gt;0,'Prof Triangle'!I28/'Prof Triangle'!H28,"")</f>
        <v/>
      </c>
      <c r="I28" s="10">
        <f>IF('Prof Triangle'!I28&gt;0,'Prof Triangle'!J28/'Prof Triangle'!I28,"")</f>
        <v/>
      </c>
      <c r="J28" s="10">
        <f>IF('Prof Triangle'!J28&gt;0,'Prof Triangle'!K28/'Prof Triangle'!J28,"")</f>
        <v/>
      </c>
      <c r="K28" s="10">
        <f>IF('Prof Triangle'!K28&gt;0,'Prof Triangle'!L28/'Prof Triangle'!K28,"")</f>
        <v/>
      </c>
      <c r="L28" s="10">
        <f>IF('Prof Triangle'!L28&gt;0,'Prof Triangle'!M28/'Prof Triangle'!L28,"")</f>
        <v/>
      </c>
      <c r="M28" s="10">
        <f>IF('Prof Triangle'!M28&gt;0,'Prof Triangle'!N28/'Prof Triangle'!M28,"")</f>
        <v/>
      </c>
      <c r="N28" s="10">
        <f>IF('Prof Triangle'!N28&gt;0,'Prof Triangle'!O28/'Prof Triangle'!N28,"")</f>
        <v/>
      </c>
      <c r="O28" s="10">
        <f>IF('Prof Triangle'!O28&gt;0,'Prof Triangle'!P28/'Prof Triangle'!O28,"")</f>
        <v/>
      </c>
      <c r="P28" s="11">
        <f>IF('Prof Triangle'!P28&gt;0,'Prof Triangle'!Q28/'Prof Triangle'!P28,"")</f>
        <v/>
      </c>
      <c r="Q28" s="11">
        <f>IF('Prof Triangle'!Q28&gt;0,'Prof Triangle'!R28/'Prof Triangle'!Q28,"")</f>
        <v/>
      </c>
      <c r="R28" s="10">
        <f>IF('Prof Triangle'!R28&gt;0,'Prof Triangle'!S28/'Prof Triangle'!R28,"")</f>
        <v/>
      </c>
      <c r="S28" s="10">
        <f>IF('Prof Triangle'!S28&gt;0,'Prof Triangle'!T28/'Prof Triangle'!S28,"")</f>
        <v/>
      </c>
    </row>
    <row r="29">
      <c r="A29" s="6" t="inlineStr">
        <is>
          <t>2025-04</t>
        </is>
      </c>
      <c r="B29" s="10">
        <f>IF('Prof Triangle'!B29&gt;0,'Prof Triangle'!C29/'Prof Triangle'!B29,"")</f>
        <v/>
      </c>
      <c r="C29" s="10">
        <f>IF('Prof Triangle'!C29&gt;0,'Prof Triangle'!D29/'Prof Triangle'!C29,"")</f>
        <v/>
      </c>
      <c r="D29" s="10">
        <f>IF('Prof Triangle'!D29&gt;0,'Prof Triangle'!E29/'Prof Triangle'!D29,"")</f>
        <v/>
      </c>
      <c r="E29" s="10">
        <f>IF('Prof Triangle'!E29&gt;0,'Prof Triangle'!F29/'Prof Triangle'!E29,"")</f>
        <v/>
      </c>
      <c r="F29" s="10">
        <f>IF('Prof Triangle'!F29&gt;0,'Prof Triangle'!G29/'Prof Triangle'!F29,"")</f>
        <v/>
      </c>
      <c r="G29" s="10">
        <f>IF('Prof Triangle'!G29&gt;0,'Prof Triangle'!H29/'Prof Triangle'!G29,"")</f>
        <v/>
      </c>
      <c r="H29" s="10">
        <f>IF('Prof Triangle'!H29&gt;0,'Prof Triangle'!I29/'Prof Triangle'!H29,"")</f>
        <v/>
      </c>
      <c r="I29" s="10">
        <f>IF('Prof Triangle'!I29&gt;0,'Prof Triangle'!J29/'Prof Triangle'!I29,"")</f>
        <v/>
      </c>
      <c r="J29" s="10">
        <f>IF('Prof Triangle'!J29&gt;0,'Prof Triangle'!K29/'Prof Triangle'!J29,"")</f>
        <v/>
      </c>
      <c r="K29" s="10">
        <f>IF('Prof Triangle'!K29&gt;0,'Prof Triangle'!L29/'Prof Triangle'!K29,"")</f>
        <v/>
      </c>
      <c r="L29" s="10">
        <f>IF('Prof Triangle'!L29&gt;0,'Prof Triangle'!M29/'Prof Triangle'!L29,"")</f>
        <v/>
      </c>
      <c r="M29" s="10">
        <f>IF('Prof Triangle'!M29&gt;0,'Prof Triangle'!N29/'Prof Triangle'!M29,"")</f>
        <v/>
      </c>
      <c r="N29" s="10">
        <f>IF('Prof Triangle'!N29&gt;0,'Prof Triangle'!O29/'Prof Triangle'!N29,"")</f>
        <v/>
      </c>
      <c r="O29" s="11">
        <f>IF('Prof Triangle'!O29&gt;0,'Prof Triangle'!P29/'Prof Triangle'!O29,"")</f>
        <v/>
      </c>
      <c r="P29" s="11">
        <f>IF('Prof Triangle'!P29&gt;0,'Prof Triangle'!Q29/'Prof Triangle'!P29,"")</f>
        <v/>
      </c>
      <c r="Q29" s="10">
        <f>IF('Prof Triangle'!Q29&gt;0,'Prof Triangle'!R29/'Prof Triangle'!Q29,"")</f>
        <v/>
      </c>
      <c r="R29" s="10">
        <f>IF('Prof Triangle'!R29&gt;0,'Prof Triangle'!S29/'Prof Triangle'!R29,"")</f>
        <v/>
      </c>
    </row>
    <row r="30">
      <c r="A30" s="6" t="inlineStr">
        <is>
          <t>2025-05</t>
        </is>
      </c>
      <c r="B30" s="10">
        <f>IF('Prof Triangle'!B30&gt;0,'Prof Triangle'!C30/'Prof Triangle'!B30,"")</f>
        <v/>
      </c>
      <c r="C30" s="10">
        <f>IF('Prof Triangle'!C30&gt;0,'Prof Triangle'!D30/'Prof Triangle'!C30,"")</f>
        <v/>
      </c>
      <c r="D30" s="10">
        <f>IF('Prof Triangle'!D30&gt;0,'Prof Triangle'!E30/'Prof Triangle'!D30,"")</f>
        <v/>
      </c>
      <c r="E30" s="10">
        <f>IF('Prof Triangle'!E30&gt;0,'Prof Triangle'!F30/'Prof Triangle'!E30,"")</f>
        <v/>
      </c>
      <c r="F30" s="10">
        <f>IF('Prof Triangle'!F30&gt;0,'Prof Triangle'!G30/'Prof Triangle'!F30,"")</f>
        <v/>
      </c>
      <c r="G30" s="10">
        <f>IF('Prof Triangle'!G30&gt;0,'Prof Triangle'!H30/'Prof Triangle'!G30,"")</f>
        <v/>
      </c>
      <c r="H30" s="10">
        <f>IF('Prof Triangle'!H30&gt;0,'Prof Triangle'!I30/'Prof Triangle'!H30,"")</f>
        <v/>
      </c>
      <c r="I30" s="10">
        <f>IF('Prof Triangle'!I30&gt;0,'Prof Triangle'!J30/'Prof Triangle'!I30,"")</f>
        <v/>
      </c>
      <c r="J30" s="10">
        <f>IF('Prof Triangle'!J30&gt;0,'Prof Triangle'!K30/'Prof Triangle'!J30,"")</f>
        <v/>
      </c>
      <c r="K30" s="10">
        <f>IF('Prof Triangle'!K30&gt;0,'Prof Triangle'!L30/'Prof Triangle'!K30,"")</f>
        <v/>
      </c>
      <c r="L30" s="10">
        <f>IF('Prof Triangle'!L30&gt;0,'Prof Triangle'!M30/'Prof Triangle'!L30,"")</f>
        <v/>
      </c>
      <c r="M30" s="10">
        <f>IF('Prof Triangle'!M30&gt;0,'Prof Triangle'!N30/'Prof Triangle'!M30,"")</f>
        <v/>
      </c>
      <c r="N30" s="11">
        <f>IF('Prof Triangle'!N30&gt;0,'Prof Triangle'!O30/'Prof Triangle'!N30,"")</f>
        <v/>
      </c>
      <c r="O30" s="11">
        <f>IF('Prof Triangle'!O30&gt;0,'Prof Triangle'!P30/'Prof Triangle'!O30,"")</f>
        <v/>
      </c>
      <c r="P30" s="10">
        <f>IF('Prof Triangle'!P30&gt;0,'Prof Triangle'!Q30/'Prof Triangle'!P30,"")</f>
        <v/>
      </c>
      <c r="Q30" s="10">
        <f>IF('Prof Triangle'!Q30&gt;0,'Prof Triangle'!R30/'Prof Triangle'!Q30,"")</f>
        <v/>
      </c>
    </row>
    <row r="31">
      <c r="A31" s="6" t="inlineStr">
        <is>
          <t>2025-06</t>
        </is>
      </c>
      <c r="B31" s="10">
        <f>IF('Prof Triangle'!B31&gt;0,'Prof Triangle'!C31/'Prof Triangle'!B31,"")</f>
        <v/>
      </c>
      <c r="C31" s="10">
        <f>IF('Prof Triangle'!C31&gt;0,'Prof Triangle'!D31/'Prof Triangle'!C31,"")</f>
        <v/>
      </c>
      <c r="D31" s="10">
        <f>IF('Prof Triangle'!D31&gt;0,'Prof Triangle'!E31/'Prof Triangle'!D31,"")</f>
        <v/>
      </c>
      <c r="E31" s="10">
        <f>IF('Prof Triangle'!E31&gt;0,'Prof Triangle'!F31/'Prof Triangle'!E31,"")</f>
        <v/>
      </c>
      <c r="F31" s="10">
        <f>IF('Prof Triangle'!F31&gt;0,'Prof Triangle'!G31/'Prof Triangle'!F31,"")</f>
        <v/>
      </c>
      <c r="G31" s="10">
        <f>IF('Prof Triangle'!G31&gt;0,'Prof Triangle'!H31/'Prof Triangle'!G31,"")</f>
        <v/>
      </c>
      <c r="H31" s="10">
        <f>IF('Prof Triangle'!H31&gt;0,'Prof Triangle'!I31/'Prof Triangle'!H31,"")</f>
        <v/>
      </c>
      <c r="I31" s="10">
        <f>IF('Prof Triangle'!I31&gt;0,'Prof Triangle'!J31/'Prof Triangle'!I31,"")</f>
        <v/>
      </c>
      <c r="J31" s="10">
        <f>IF('Prof Triangle'!J31&gt;0,'Prof Triangle'!K31/'Prof Triangle'!J31,"")</f>
        <v/>
      </c>
      <c r="K31" s="10">
        <f>IF('Prof Triangle'!K31&gt;0,'Prof Triangle'!L31/'Prof Triangle'!K31,"")</f>
        <v/>
      </c>
      <c r="L31" s="10">
        <f>IF('Prof Triangle'!L31&gt;0,'Prof Triangle'!M31/'Prof Triangle'!L31,"")</f>
        <v/>
      </c>
      <c r="M31" s="11">
        <f>IF('Prof Triangle'!M31&gt;0,'Prof Triangle'!N31/'Prof Triangle'!M31,"")</f>
        <v/>
      </c>
      <c r="N31" s="11">
        <f>IF('Prof Triangle'!N31&gt;0,'Prof Triangle'!O31/'Prof Triangle'!N31,"")</f>
        <v/>
      </c>
      <c r="O31" s="10">
        <f>IF('Prof Triangle'!O31&gt;0,'Prof Triangle'!P31/'Prof Triangle'!O31,"")</f>
        <v/>
      </c>
      <c r="P31" s="10">
        <f>IF('Prof Triangle'!P31&gt;0,'Prof Triangle'!Q31/'Prof Triangle'!P31,"")</f>
        <v/>
      </c>
    </row>
    <row r="32">
      <c r="A32" s="6" t="inlineStr">
        <is>
          <t>2025-07</t>
        </is>
      </c>
      <c r="B32" s="10">
        <f>IF('Prof Triangle'!B32&gt;0,'Prof Triangle'!C32/'Prof Triangle'!B32,"")</f>
        <v/>
      </c>
      <c r="C32" s="10">
        <f>IF('Prof Triangle'!C32&gt;0,'Prof Triangle'!D32/'Prof Triangle'!C32,"")</f>
        <v/>
      </c>
      <c r="D32" s="10">
        <f>IF('Prof Triangle'!D32&gt;0,'Prof Triangle'!E32/'Prof Triangle'!D32,"")</f>
        <v/>
      </c>
      <c r="E32" s="10">
        <f>IF('Prof Triangle'!E32&gt;0,'Prof Triangle'!F32/'Prof Triangle'!E32,"")</f>
        <v/>
      </c>
      <c r="F32" s="10">
        <f>IF('Prof Triangle'!F32&gt;0,'Prof Triangle'!G32/'Prof Triangle'!F32,"")</f>
        <v/>
      </c>
      <c r="G32" s="10">
        <f>IF('Prof Triangle'!G32&gt;0,'Prof Triangle'!H32/'Prof Triangle'!G32,"")</f>
        <v/>
      </c>
      <c r="H32" s="10">
        <f>IF('Prof Triangle'!H32&gt;0,'Prof Triangle'!I32/'Prof Triangle'!H32,"")</f>
        <v/>
      </c>
      <c r="I32" s="10">
        <f>IF('Prof Triangle'!I32&gt;0,'Prof Triangle'!J32/'Prof Triangle'!I32,"")</f>
        <v/>
      </c>
      <c r="J32" s="10">
        <f>IF('Prof Triangle'!J32&gt;0,'Prof Triangle'!K32/'Prof Triangle'!J32,"")</f>
        <v/>
      </c>
      <c r="K32" s="10">
        <f>IF('Prof Triangle'!K32&gt;0,'Prof Triangle'!L32/'Prof Triangle'!K32,"")</f>
        <v/>
      </c>
      <c r="L32" s="11">
        <f>IF('Prof Triangle'!L32&gt;0,'Prof Triangle'!M32/'Prof Triangle'!L32,"")</f>
        <v/>
      </c>
      <c r="M32" s="11">
        <f>IF('Prof Triangle'!M32&gt;0,'Prof Triangle'!N32/'Prof Triangle'!M32,"")</f>
        <v/>
      </c>
      <c r="N32" s="10">
        <f>IF('Prof Triangle'!N32&gt;0,'Prof Triangle'!O32/'Prof Triangle'!N32,"")</f>
        <v/>
      </c>
      <c r="O32" s="10">
        <f>IF('Prof Triangle'!O32&gt;0,'Prof Triangle'!P32/'Prof Triangle'!O32,"")</f>
        <v/>
      </c>
    </row>
    <row r="33">
      <c r="A33" s="6" t="inlineStr">
        <is>
          <t>2025-08</t>
        </is>
      </c>
      <c r="B33" s="10">
        <f>IF('Prof Triangle'!B33&gt;0,'Prof Triangle'!C33/'Prof Triangle'!B33,"")</f>
        <v/>
      </c>
      <c r="C33" s="10">
        <f>IF('Prof Triangle'!C33&gt;0,'Prof Triangle'!D33/'Prof Triangle'!C33,"")</f>
        <v/>
      </c>
      <c r="D33" s="10">
        <f>IF('Prof Triangle'!D33&gt;0,'Prof Triangle'!E33/'Prof Triangle'!D33,"")</f>
        <v/>
      </c>
      <c r="E33" s="10">
        <f>IF('Prof Triangle'!E33&gt;0,'Prof Triangle'!F33/'Prof Triangle'!E33,"")</f>
        <v/>
      </c>
      <c r="F33" s="10">
        <f>IF('Prof Triangle'!F33&gt;0,'Prof Triangle'!G33/'Prof Triangle'!F33,"")</f>
        <v/>
      </c>
      <c r="G33" s="10">
        <f>IF('Prof Triangle'!G33&gt;0,'Prof Triangle'!H33/'Prof Triangle'!G33,"")</f>
        <v/>
      </c>
      <c r="H33" s="10">
        <f>IF('Prof Triangle'!H33&gt;0,'Prof Triangle'!I33/'Prof Triangle'!H33,"")</f>
        <v/>
      </c>
      <c r="I33" s="10">
        <f>IF('Prof Triangle'!I33&gt;0,'Prof Triangle'!J33/'Prof Triangle'!I33,"")</f>
        <v/>
      </c>
      <c r="J33" s="10">
        <f>IF('Prof Triangle'!J33&gt;0,'Prof Triangle'!K33/'Prof Triangle'!J33,"")</f>
        <v/>
      </c>
      <c r="K33" s="11">
        <f>IF('Prof Triangle'!K33&gt;0,'Prof Triangle'!L33/'Prof Triangle'!K33,"")</f>
        <v/>
      </c>
      <c r="L33" s="11">
        <f>IF('Prof Triangle'!L33&gt;0,'Prof Triangle'!M33/'Prof Triangle'!L33,"")</f>
        <v/>
      </c>
      <c r="M33" s="10">
        <f>IF('Prof Triangle'!M33&gt;0,'Prof Triangle'!N33/'Prof Triangle'!M33,"")</f>
        <v/>
      </c>
      <c r="N33" s="10">
        <f>IF('Prof Triangle'!N33&gt;0,'Prof Triangle'!O33/'Prof Triangle'!N33,"")</f>
        <v/>
      </c>
    </row>
    <row r="34">
      <c r="A34" s="6" t="inlineStr">
        <is>
          <t>2025-09</t>
        </is>
      </c>
      <c r="B34" s="10">
        <f>IF('Prof Triangle'!B34&gt;0,'Prof Triangle'!C34/'Prof Triangle'!B34,"")</f>
        <v/>
      </c>
      <c r="C34" s="10">
        <f>IF('Prof Triangle'!C34&gt;0,'Prof Triangle'!D34/'Prof Triangle'!C34,"")</f>
        <v/>
      </c>
      <c r="D34" s="10">
        <f>IF('Prof Triangle'!D34&gt;0,'Prof Triangle'!E34/'Prof Triangle'!D34,"")</f>
        <v/>
      </c>
      <c r="E34" s="10">
        <f>IF('Prof Triangle'!E34&gt;0,'Prof Triangle'!F34/'Prof Triangle'!E34,"")</f>
        <v/>
      </c>
      <c r="F34" s="10">
        <f>IF('Prof Triangle'!F34&gt;0,'Prof Triangle'!G34/'Prof Triangle'!F34,"")</f>
        <v/>
      </c>
      <c r="G34" s="10">
        <f>IF('Prof Triangle'!G34&gt;0,'Prof Triangle'!H34/'Prof Triangle'!G34,"")</f>
        <v/>
      </c>
      <c r="H34" s="10">
        <f>IF('Prof Triangle'!H34&gt;0,'Prof Triangle'!I34/'Prof Triangle'!H34,"")</f>
        <v/>
      </c>
      <c r="I34" s="10">
        <f>IF('Prof Triangle'!I34&gt;0,'Prof Triangle'!J34/'Prof Triangle'!I34,"")</f>
        <v/>
      </c>
      <c r="J34" s="11">
        <f>IF('Prof Triangle'!J34&gt;0,'Prof Triangle'!K34/'Prof Triangle'!J34,"")</f>
        <v/>
      </c>
      <c r="K34" s="11">
        <f>IF('Prof Triangle'!K34&gt;0,'Prof Triangle'!L34/'Prof Triangle'!K34,"")</f>
        <v/>
      </c>
      <c r="L34" s="10">
        <f>IF('Prof Triangle'!L34&gt;0,'Prof Triangle'!M34/'Prof Triangle'!L34,"")</f>
        <v/>
      </c>
      <c r="M34" s="10">
        <f>IF('Prof Triangle'!M34&gt;0,'Prof Triangle'!N34/'Prof Triangle'!M34,"")</f>
        <v/>
      </c>
    </row>
    <row r="35">
      <c r="A35" s="6" t="inlineStr">
        <is>
          <t>2025-10</t>
        </is>
      </c>
      <c r="B35" s="10">
        <f>IF('Prof Triangle'!B35&gt;0,'Prof Triangle'!C35/'Prof Triangle'!B35,"")</f>
        <v/>
      </c>
      <c r="C35" s="10">
        <f>IF('Prof Triangle'!C35&gt;0,'Prof Triangle'!D35/'Prof Triangle'!C35,"")</f>
        <v/>
      </c>
      <c r="D35" s="10">
        <f>IF('Prof Triangle'!D35&gt;0,'Prof Triangle'!E35/'Prof Triangle'!D35,"")</f>
        <v/>
      </c>
      <c r="E35" s="10">
        <f>IF('Prof Triangle'!E35&gt;0,'Prof Triangle'!F35/'Prof Triangle'!E35,"")</f>
        <v/>
      </c>
      <c r="F35" s="10">
        <f>IF('Prof Triangle'!F35&gt;0,'Prof Triangle'!G35/'Prof Triangle'!F35,"")</f>
        <v/>
      </c>
      <c r="G35" s="10">
        <f>IF('Prof Triangle'!G35&gt;0,'Prof Triangle'!H35/'Prof Triangle'!G35,"")</f>
        <v/>
      </c>
      <c r="H35" s="10">
        <f>IF('Prof Triangle'!H35&gt;0,'Prof Triangle'!I35/'Prof Triangle'!H35,"")</f>
        <v/>
      </c>
      <c r="I35" s="11">
        <f>IF('Prof Triangle'!I35&gt;0,'Prof Triangle'!J35/'Prof Triangle'!I35,"")</f>
        <v/>
      </c>
      <c r="J35" s="11">
        <f>IF('Prof Triangle'!J35&gt;0,'Prof Triangle'!K35/'Prof Triangle'!J35,"")</f>
        <v/>
      </c>
      <c r="K35" s="10">
        <f>IF('Prof Triangle'!K35&gt;0,'Prof Triangle'!L35/'Prof Triangle'!K35,"")</f>
        <v/>
      </c>
      <c r="L35" s="10">
        <f>IF('Prof Triangle'!L35&gt;0,'Prof Triangle'!M35/'Prof Triangle'!L35,"")</f>
        <v/>
      </c>
    </row>
    <row r="36">
      <c r="A36" s="6" t="inlineStr">
        <is>
          <t>2025-11</t>
        </is>
      </c>
      <c r="B36" s="10">
        <f>IF('Prof Triangle'!B36&gt;0,'Prof Triangle'!C36/'Prof Triangle'!B36,"")</f>
        <v/>
      </c>
      <c r="C36" s="10">
        <f>IF('Prof Triangle'!C36&gt;0,'Prof Triangle'!D36/'Prof Triangle'!C36,"")</f>
        <v/>
      </c>
      <c r="D36" s="10">
        <f>IF('Prof Triangle'!D36&gt;0,'Prof Triangle'!E36/'Prof Triangle'!D36,"")</f>
        <v/>
      </c>
      <c r="E36" s="10">
        <f>IF('Prof Triangle'!E36&gt;0,'Prof Triangle'!F36/'Prof Triangle'!E36,"")</f>
        <v/>
      </c>
      <c r="F36" s="10">
        <f>IF('Prof Triangle'!F36&gt;0,'Prof Triangle'!G36/'Prof Triangle'!F36,"")</f>
        <v/>
      </c>
      <c r="G36" s="10">
        <f>IF('Prof Triangle'!G36&gt;0,'Prof Triangle'!H36/'Prof Triangle'!G36,"")</f>
        <v/>
      </c>
      <c r="H36" s="11">
        <f>IF('Prof Triangle'!H36&gt;0,'Prof Triangle'!I36/'Prof Triangle'!H36,"")</f>
        <v/>
      </c>
      <c r="I36" s="11">
        <f>IF('Prof Triangle'!I36&gt;0,'Prof Triangle'!J36/'Prof Triangle'!I36,"")</f>
        <v/>
      </c>
      <c r="J36" s="10">
        <f>IF('Prof Triangle'!J36&gt;0,'Prof Triangle'!K36/'Prof Triangle'!J36,"")</f>
        <v/>
      </c>
      <c r="K36" s="10">
        <f>IF('Prof Triangle'!K36&gt;0,'Prof Triangle'!L36/'Prof Triangle'!K36,"")</f>
        <v/>
      </c>
    </row>
    <row r="37">
      <c r="A37" s="6" t="inlineStr">
        <is>
          <t>2025-12</t>
        </is>
      </c>
      <c r="B37" s="10">
        <f>IF('Prof Triangle'!B37&gt;0,'Prof Triangle'!C37/'Prof Triangle'!B37,"")</f>
        <v/>
      </c>
      <c r="C37" s="10">
        <f>IF('Prof Triangle'!C37&gt;0,'Prof Triangle'!D37/'Prof Triangle'!C37,"")</f>
        <v/>
      </c>
      <c r="D37" s="10">
        <f>IF('Prof Triangle'!D37&gt;0,'Prof Triangle'!E37/'Prof Triangle'!D37,"")</f>
        <v/>
      </c>
      <c r="E37" s="10">
        <f>IF('Prof Triangle'!E37&gt;0,'Prof Triangle'!F37/'Prof Triangle'!E37,"")</f>
        <v/>
      </c>
      <c r="F37" s="10">
        <f>IF('Prof Triangle'!F37&gt;0,'Prof Triangle'!G37/'Prof Triangle'!F37,"")</f>
        <v/>
      </c>
      <c r="G37" s="11">
        <f>IF('Prof Triangle'!G37&gt;0,'Prof Triangle'!H37/'Prof Triangle'!G37,"")</f>
        <v/>
      </c>
      <c r="H37" s="11">
        <f>IF('Prof Triangle'!H37&gt;0,'Prof Triangle'!I37/'Prof Triangle'!H37,"")</f>
        <v/>
      </c>
      <c r="I37" s="10">
        <f>IF('Prof Triangle'!I37&gt;0,'Prof Triangle'!J37/'Prof Triangle'!I37,"")</f>
        <v/>
      </c>
      <c r="J37" s="10">
        <f>IF('Prof Triangle'!J37&gt;0,'Prof Triangle'!K37/'Prof Triangle'!J37,"")</f>
        <v/>
      </c>
    </row>
    <row r="38">
      <c r="A38" s="6" t="inlineStr">
        <is>
          <t>2026-01</t>
        </is>
      </c>
      <c r="B38" s="10">
        <f>IF('Prof Triangle'!B38&gt;0,'Prof Triangle'!C38/'Prof Triangle'!B38,"")</f>
        <v/>
      </c>
      <c r="C38" s="10">
        <f>IF('Prof Triangle'!C38&gt;0,'Prof Triangle'!D38/'Prof Triangle'!C38,"")</f>
        <v/>
      </c>
      <c r="D38" s="10">
        <f>IF('Prof Triangle'!D38&gt;0,'Prof Triangle'!E38/'Prof Triangle'!D38,"")</f>
        <v/>
      </c>
      <c r="E38" s="10">
        <f>IF('Prof Triangle'!E38&gt;0,'Prof Triangle'!F38/'Prof Triangle'!E38,"")</f>
        <v/>
      </c>
      <c r="F38" s="11">
        <f>IF('Prof Triangle'!F38&gt;0,'Prof Triangle'!G38/'Prof Triangle'!F38,"")</f>
        <v/>
      </c>
      <c r="G38" s="11">
        <f>IF('Prof Triangle'!G38&gt;0,'Prof Triangle'!H38/'Prof Triangle'!G38,"")</f>
        <v/>
      </c>
      <c r="H38" s="10">
        <f>IF('Prof Triangle'!H38&gt;0,'Prof Triangle'!I38/'Prof Triangle'!H38,"")</f>
        <v/>
      </c>
      <c r="I38" s="10">
        <f>IF('Prof Triangle'!I38&gt;0,'Prof Triangle'!J38/'Prof Triangle'!I38,"")</f>
        <v/>
      </c>
    </row>
    <row r="39">
      <c r="A39" s="6" t="inlineStr">
        <is>
          <t>2026-02</t>
        </is>
      </c>
      <c r="B39" s="10">
        <f>IF('Prof Triangle'!B39&gt;0,'Prof Triangle'!C39/'Prof Triangle'!B39,"")</f>
        <v/>
      </c>
      <c r="C39" s="10">
        <f>IF('Prof Triangle'!C39&gt;0,'Prof Triangle'!D39/'Prof Triangle'!C39,"")</f>
        <v/>
      </c>
      <c r="D39" s="10">
        <f>IF('Prof Triangle'!D39&gt;0,'Prof Triangle'!E39/'Prof Triangle'!D39,"")</f>
        <v/>
      </c>
      <c r="E39" s="11">
        <f>IF('Prof Triangle'!E39&gt;0,'Prof Triangle'!F39/'Prof Triangle'!E39,"")</f>
        <v/>
      </c>
      <c r="F39" s="11">
        <f>IF('Prof Triangle'!F39&gt;0,'Prof Triangle'!G39/'Prof Triangle'!F39,"")</f>
        <v/>
      </c>
      <c r="G39" s="10">
        <f>IF('Prof Triangle'!G39&gt;0,'Prof Triangle'!H39/'Prof Triangle'!G39,"")</f>
        <v/>
      </c>
      <c r="H39" s="10">
        <f>IF('Prof Triangle'!H39&gt;0,'Prof Triangle'!I39/'Prof Triangle'!H39,"")</f>
        <v/>
      </c>
    </row>
    <row r="40">
      <c r="A40" s="6" t="inlineStr">
        <is>
          <t>2026-03</t>
        </is>
      </c>
      <c r="B40" s="10">
        <f>IF('Prof Triangle'!B40&gt;0,'Prof Triangle'!C40/'Prof Triangle'!B40,"")</f>
        <v/>
      </c>
      <c r="C40" s="10">
        <f>IF('Prof Triangle'!C40&gt;0,'Prof Triangle'!D40/'Prof Triangle'!C40,"")</f>
        <v/>
      </c>
      <c r="D40" s="11">
        <f>IF('Prof Triangle'!D40&gt;0,'Prof Triangle'!E40/'Prof Triangle'!D40,"")</f>
        <v/>
      </c>
      <c r="E40" s="11">
        <f>IF('Prof Triangle'!E40&gt;0,'Prof Triangle'!F40/'Prof Triangle'!E40,"")</f>
        <v/>
      </c>
      <c r="F40" s="10">
        <f>IF('Prof Triangle'!F40&gt;0,'Prof Triangle'!G40/'Prof Triangle'!F40,"")</f>
        <v/>
      </c>
      <c r="G40" s="10">
        <f>IF('Prof Triangle'!G40&gt;0,'Prof Triangle'!H40/'Prof Triangle'!G40,"")</f>
        <v/>
      </c>
    </row>
    <row r="41">
      <c r="A41" s="6" t="inlineStr">
        <is>
          <t>2026-04</t>
        </is>
      </c>
      <c r="B41" s="10">
        <f>IF('Prof Triangle'!B41&gt;0,'Prof Triangle'!C41/'Prof Triangle'!B41,"")</f>
        <v/>
      </c>
      <c r="C41" s="11">
        <f>IF('Prof Triangle'!C41&gt;0,'Prof Triangle'!D41/'Prof Triangle'!C41,"")</f>
        <v/>
      </c>
      <c r="D41" s="11">
        <f>IF('Prof Triangle'!D41&gt;0,'Prof Triangle'!E41/'Prof Triangle'!D41,"")</f>
        <v/>
      </c>
      <c r="E41" s="10">
        <f>IF('Prof Triangle'!E41&gt;0,'Prof Triangle'!F41/'Prof Triangle'!E41,"")</f>
        <v/>
      </c>
      <c r="F41" s="10">
        <f>IF('Prof Triangle'!F41&gt;0,'Prof Triangle'!G41/'Prof Triangle'!F41,"")</f>
        <v/>
      </c>
    </row>
    <row r="42">
      <c r="A42" s="6" t="inlineStr">
        <is>
          <t>2026-05</t>
        </is>
      </c>
      <c r="B42" s="11">
        <f>IF('Prof Triangle'!B42&gt;0,'Prof Triangle'!C42/'Prof Triangle'!B42,"")</f>
        <v/>
      </c>
      <c r="C42" s="11">
        <f>IF('Prof Triangle'!C42&gt;0,'Prof Triangle'!D42/'Prof Triangle'!C42,"")</f>
        <v/>
      </c>
      <c r="D42" s="10">
        <f>IF('Prof Triangle'!D42&gt;0,'Prof Triangle'!E42/'Prof Triangle'!D42,"")</f>
        <v/>
      </c>
      <c r="E42" s="10">
        <f>IF('Prof Triangle'!E42&gt;0,'Prof Triangle'!F42/'Prof Triangle'!E42,"")</f>
        <v/>
      </c>
    </row>
    <row r="43">
      <c r="A43" s="6" t="inlineStr">
        <is>
          <t>2026-06</t>
        </is>
      </c>
      <c r="B43" s="11">
        <f>IF('Prof Triangle'!B43&gt;0,'Prof Triangle'!C43/'Prof Triangle'!B43,"")</f>
        <v/>
      </c>
      <c r="C43" s="10">
        <f>IF('Prof Triangle'!C43&gt;0,'Prof Triangle'!D43/'Prof Triangle'!C43,"")</f>
        <v/>
      </c>
      <c r="D43" s="10">
        <f>IF('Prof Triangle'!D43&gt;0,'Prof Triangle'!E43/'Prof Triangle'!D43,"")</f>
        <v/>
      </c>
    </row>
    <row r="44">
      <c r="A44" s="6" t="inlineStr">
        <is>
          <t>2026-07</t>
        </is>
      </c>
      <c r="B44" s="10">
        <f>IF('Prof Triangle'!B44&gt;0,'Prof Triangle'!C44/'Prof Triangle'!B44,"")</f>
        <v/>
      </c>
      <c r="C44" s="10">
        <f>IF('Prof Triangle'!C44&gt;0,'Prof Triangle'!D44/'Prof Triangle'!C44,"")</f>
        <v/>
      </c>
    </row>
    <row r="45">
      <c r="A45" s="6" t="inlineStr">
        <is>
          <t>2026-08</t>
        </is>
      </c>
      <c r="B45" s="10">
        <f>IF('Prof Triangle'!B45&gt;0,'Prof Triangle'!C45/'Prof Triangle'!B45,"")</f>
        <v/>
      </c>
    </row>
    <row r="46">
      <c r="A46" s="6" t="inlineStr">
        <is>
          <t>2026-09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4" customWidth="1" min="4" max="4"/>
    <col width="14" customWidth="1" min="5" max="5"/>
    <col width="60" customWidth="1" min="6" max="6"/>
  </cols>
  <sheetData>
    <row r="1">
      <c r="A1" s="3" t="inlineStr">
        <is>
          <t>Lag</t>
        </is>
      </c>
      <c r="B1" s="3" t="inlineStr">
        <is>
          <t>6-mo avg ex hi/lo</t>
        </is>
      </c>
      <c r="C1" s="3" t="inlineStr">
        <is>
          <t>Override</t>
        </is>
      </c>
      <c r="D1" s="3" t="inlineStr">
        <is>
          <t>Selected link ratio</t>
        </is>
      </c>
      <c r="E1" s="3" t="inlineStr">
        <is>
          <t>Completion factor</t>
        </is>
      </c>
      <c r="F1" s="3" t="inlineStr">
        <is>
          <t>Months used</t>
        </is>
      </c>
    </row>
    <row r="2">
      <c r="A2" t="n">
        <v>0</v>
      </c>
      <c r="B2" s="10">
        <f>(SUM('Prof Ratios'!B38,'Prof Ratios'!B39,'Prof Ratios'!B40,'Prof Ratios'!B41,'Prof Ratios'!B44,'Prof Ratios'!B45)-MAX('Prof Ratios'!B38,'Prof Ratios'!B39,'Prof Ratios'!B40,'Prof Ratios'!B41,'Prof Ratios'!B44,'Prof Ratios'!B45)-MIN('Prof Ratios'!B38,'Prof Ratios'!B39,'Prof Ratios'!B40,'Prof Ratios'!B41,'Prof Ratios'!B44,'Prof Ratios'!B45))/(COUNT('Prof Ratios'!B38,'Prof Ratios'!B39,'Prof Ratios'!B40,'Prof Ratios'!B41,'Prof Ratios'!B44,'Prof Ratios'!B45)-2)</f>
        <v/>
      </c>
      <c r="C2" s="12" t="n"/>
      <c r="D2" s="10">
        <f>IF(ISNUMBER(C2),C2,B2)</f>
        <v/>
      </c>
      <c r="E2" s="13">
        <f>1/PRODUCT(D2:D46)</f>
        <v/>
      </c>
      <c r="F2" t="inlineStr">
        <is>
          <t>2026-01, 2026-02, 2026-03, 2026-04, 2026-07, 2026-08</t>
        </is>
      </c>
    </row>
    <row r="3">
      <c r="A3" t="n">
        <v>1</v>
      </c>
      <c r="B3" s="10">
        <f>(SUM('Prof Ratios'!C37,'Prof Ratios'!C38,'Prof Ratios'!C39,'Prof Ratios'!C40,'Prof Ratios'!C43,'Prof Ratios'!C44)-MAX('Prof Ratios'!C37,'Prof Ratios'!C38,'Prof Ratios'!C39,'Prof Ratios'!C40,'Prof Ratios'!C43,'Prof Ratios'!C44)-MIN('Prof Ratios'!C37,'Prof Ratios'!C38,'Prof Ratios'!C39,'Prof Ratios'!C40,'Prof Ratios'!C43,'Prof Ratios'!C44))/(COUNT('Prof Ratios'!C37,'Prof Ratios'!C38,'Prof Ratios'!C39,'Prof Ratios'!C40,'Prof Ratios'!C43,'Prof Ratios'!C44)-2)</f>
        <v/>
      </c>
      <c r="C3" s="12" t="n"/>
      <c r="D3" s="10">
        <f>IF(ISNUMBER(C3),C3,B3)</f>
        <v/>
      </c>
      <c r="E3" s="13">
        <f>1/PRODUCT(D3:D46)</f>
        <v/>
      </c>
      <c r="F3" t="inlineStr">
        <is>
          <t>2025-12, 2026-01, 2026-02, 2026-03, 2026-06, 2026-07</t>
        </is>
      </c>
    </row>
    <row r="4">
      <c r="A4" t="n">
        <v>2</v>
      </c>
      <c r="B4" s="10">
        <f>(SUM('Prof Ratios'!D36,'Prof Ratios'!D37,'Prof Ratios'!D38,'Prof Ratios'!D39,'Prof Ratios'!D42,'Prof Ratios'!D43)-MAX('Prof Ratios'!D36,'Prof Ratios'!D37,'Prof Ratios'!D38,'Prof Ratios'!D39,'Prof Ratios'!D42,'Prof Ratios'!D43)-MIN('Prof Ratios'!D36,'Prof Ratios'!D37,'Prof Ratios'!D38,'Prof Ratios'!D39,'Prof Ratios'!D42,'Prof Ratios'!D43))/(COUNT('Prof Ratios'!D36,'Prof Ratios'!D37,'Prof Ratios'!D38,'Prof Ratios'!D39,'Prof Ratios'!D42,'Prof Ratios'!D43)-2)</f>
        <v/>
      </c>
      <c r="C4" s="12" t="n"/>
      <c r="D4" s="10">
        <f>IF(ISNUMBER(C4),C4,B4)</f>
        <v/>
      </c>
      <c r="E4" s="13">
        <f>1/PRODUCT(D4:D46)</f>
        <v/>
      </c>
      <c r="F4" t="inlineStr">
        <is>
          <t>2025-11, 2025-12, 2026-01, 2026-02, 2026-05, 2026-06</t>
        </is>
      </c>
    </row>
    <row r="5">
      <c r="A5" t="n">
        <v>3</v>
      </c>
      <c r="B5" s="10">
        <f>(SUM('Prof Ratios'!E35,'Prof Ratios'!E36,'Prof Ratios'!E37,'Prof Ratios'!E38,'Prof Ratios'!E41,'Prof Ratios'!E42)-MAX('Prof Ratios'!E35,'Prof Ratios'!E36,'Prof Ratios'!E37,'Prof Ratios'!E38,'Prof Ratios'!E41,'Prof Ratios'!E42)-MIN('Prof Ratios'!E35,'Prof Ratios'!E36,'Prof Ratios'!E37,'Prof Ratios'!E38,'Prof Ratios'!E41,'Prof Ratios'!E42))/(COUNT('Prof Ratios'!E35,'Prof Ratios'!E36,'Prof Ratios'!E37,'Prof Ratios'!E38,'Prof Ratios'!E41,'Prof Ratios'!E42)-2)</f>
        <v/>
      </c>
      <c r="C5" s="12" t="n"/>
      <c r="D5" s="10">
        <f>IF(ISNUMBER(C5),C5,B5)</f>
        <v/>
      </c>
      <c r="E5" s="13">
        <f>1/PRODUCT(D5:D46)</f>
        <v/>
      </c>
      <c r="F5" t="inlineStr">
        <is>
          <t>2025-10, 2025-11, 2025-12, 2026-01, 2026-04, 2026-05</t>
        </is>
      </c>
    </row>
    <row r="6">
      <c r="A6" t="n">
        <v>4</v>
      </c>
      <c r="B6" s="10">
        <f>(SUM('Prof Ratios'!F34,'Prof Ratios'!F35,'Prof Ratios'!F36,'Prof Ratios'!F37,'Prof Ratios'!F40,'Prof Ratios'!F41)-MAX('Prof Ratios'!F34,'Prof Ratios'!F35,'Prof Ratios'!F36,'Prof Ratios'!F37,'Prof Ratios'!F40,'Prof Ratios'!F41)-MIN('Prof Ratios'!F34,'Prof Ratios'!F35,'Prof Ratios'!F36,'Prof Ratios'!F37,'Prof Ratios'!F40,'Prof Ratios'!F41))/(COUNT('Prof Ratios'!F34,'Prof Ratios'!F35,'Prof Ratios'!F36,'Prof Ratios'!F37,'Prof Ratios'!F40,'Prof Ratios'!F41)-2)</f>
        <v/>
      </c>
      <c r="C6" s="12" t="n"/>
      <c r="D6" s="10">
        <f>IF(ISNUMBER(C6),C6,B6)</f>
        <v/>
      </c>
      <c r="E6" s="13">
        <f>1/PRODUCT(D6:D46)</f>
        <v/>
      </c>
      <c r="F6" t="inlineStr">
        <is>
          <t>2025-09, 2025-10, 2025-11, 2025-12, 2026-03, 2026-04</t>
        </is>
      </c>
    </row>
    <row r="7">
      <c r="A7" t="n">
        <v>5</v>
      </c>
      <c r="B7" s="10">
        <f>(SUM('Prof Ratios'!G33,'Prof Ratios'!G34,'Prof Ratios'!G35,'Prof Ratios'!G36,'Prof Ratios'!G39,'Prof Ratios'!G40)-MAX('Prof Ratios'!G33,'Prof Ratios'!G34,'Prof Ratios'!G35,'Prof Ratios'!G36,'Prof Ratios'!G39,'Prof Ratios'!G40)-MIN('Prof Ratios'!G33,'Prof Ratios'!G34,'Prof Ratios'!G35,'Prof Ratios'!G36,'Prof Ratios'!G39,'Prof Ratios'!G40))/(COUNT('Prof Ratios'!G33,'Prof Ratios'!G34,'Prof Ratios'!G35,'Prof Ratios'!G36,'Prof Ratios'!G39,'Prof Ratios'!G40)-2)</f>
        <v/>
      </c>
      <c r="C7" s="12" t="n"/>
      <c r="D7" s="10">
        <f>IF(ISNUMBER(C7),C7,B7)</f>
        <v/>
      </c>
      <c r="E7" s="13">
        <f>1/PRODUCT(D7:D46)</f>
        <v/>
      </c>
      <c r="F7" t="inlineStr">
        <is>
          <t>2025-08, 2025-09, 2025-10, 2025-11, 2026-02, 2026-03</t>
        </is>
      </c>
    </row>
    <row r="8">
      <c r="A8" t="n">
        <v>6</v>
      </c>
      <c r="B8" s="10">
        <f>(SUM('Prof Ratios'!H32,'Prof Ratios'!H33,'Prof Ratios'!H34,'Prof Ratios'!H35,'Prof Ratios'!H38,'Prof Ratios'!H39)-MAX('Prof Ratios'!H32,'Prof Ratios'!H33,'Prof Ratios'!H34,'Prof Ratios'!H35,'Prof Ratios'!H38,'Prof Ratios'!H39)-MIN('Prof Ratios'!H32,'Prof Ratios'!H33,'Prof Ratios'!H34,'Prof Ratios'!H35,'Prof Ratios'!H38,'Prof Ratios'!H39))/(COUNT('Prof Ratios'!H32,'Prof Ratios'!H33,'Prof Ratios'!H34,'Prof Ratios'!H35,'Prof Ratios'!H38,'Prof Ratios'!H39)-2)</f>
        <v/>
      </c>
      <c r="C8" s="12" t="n"/>
      <c r="D8" s="10">
        <f>IF(ISNUMBER(C8),C8,B8)</f>
        <v/>
      </c>
      <c r="E8" s="13">
        <f>1/PRODUCT(D8:D46)</f>
        <v/>
      </c>
      <c r="F8" t="inlineStr">
        <is>
          <t>2025-07, 2025-08, 2025-09, 2025-10, 2026-01, 2026-02</t>
        </is>
      </c>
    </row>
    <row r="9">
      <c r="A9" t="n">
        <v>7</v>
      </c>
      <c r="B9" s="10">
        <f>(SUM('Prof Ratios'!I31,'Prof Ratios'!I32,'Prof Ratios'!I33,'Prof Ratios'!I34,'Prof Ratios'!I37,'Prof Ratios'!I38)-MAX('Prof Ratios'!I31,'Prof Ratios'!I32,'Prof Ratios'!I33,'Prof Ratios'!I34,'Prof Ratios'!I37,'Prof Ratios'!I38)-MIN('Prof Ratios'!I31,'Prof Ratios'!I32,'Prof Ratios'!I33,'Prof Ratios'!I34,'Prof Ratios'!I37,'Prof Ratios'!I38))/(COUNT('Prof Ratios'!I31,'Prof Ratios'!I32,'Prof Ratios'!I33,'Prof Ratios'!I34,'Prof Ratios'!I37,'Prof Ratios'!I38)-2)</f>
        <v/>
      </c>
      <c r="C9" s="12" t="n"/>
      <c r="D9" s="10">
        <f>IF(ISNUMBER(C9),C9,B9)</f>
        <v/>
      </c>
      <c r="E9" s="13">
        <f>1/PRODUCT(D9:D46)</f>
        <v/>
      </c>
      <c r="F9" t="inlineStr">
        <is>
          <t>2025-06, 2025-07, 2025-08, 2025-09, 2025-12, 2026-01</t>
        </is>
      </c>
    </row>
    <row r="10">
      <c r="A10" t="n">
        <v>8</v>
      </c>
      <c r="B10" s="10">
        <f>(SUM('Prof Ratios'!J30,'Prof Ratios'!J31,'Prof Ratios'!J32,'Prof Ratios'!J33,'Prof Ratios'!J36,'Prof Ratios'!J37)-MAX('Prof Ratios'!J30,'Prof Ratios'!J31,'Prof Ratios'!J32,'Prof Ratios'!J33,'Prof Ratios'!J36,'Prof Ratios'!J37)-MIN('Prof Ratios'!J30,'Prof Ratios'!J31,'Prof Ratios'!J32,'Prof Ratios'!J33,'Prof Ratios'!J36,'Prof Ratios'!J37))/(COUNT('Prof Ratios'!J30,'Prof Ratios'!J31,'Prof Ratios'!J32,'Prof Ratios'!J33,'Prof Ratios'!J36,'Prof Ratios'!J37)-2)</f>
        <v/>
      </c>
      <c r="C10" s="12" t="n"/>
      <c r="D10" s="10">
        <f>IF(ISNUMBER(C10),C10,B10)</f>
        <v/>
      </c>
      <c r="E10" s="13">
        <f>1/PRODUCT(D10:D46)</f>
        <v/>
      </c>
      <c r="F10" t="inlineStr">
        <is>
          <t>2025-05, 2025-06, 2025-07, 2025-08, 2025-11, 2025-12</t>
        </is>
      </c>
    </row>
    <row r="11">
      <c r="A11" t="n">
        <v>9</v>
      </c>
      <c r="B11" s="10">
        <f>(SUM('Prof Ratios'!K29,'Prof Ratios'!K30,'Prof Ratios'!K31,'Prof Ratios'!K32,'Prof Ratios'!K35,'Prof Ratios'!K36)-MAX('Prof Ratios'!K29,'Prof Ratios'!K30,'Prof Ratios'!K31,'Prof Ratios'!K32,'Prof Ratios'!K35,'Prof Ratios'!K36)-MIN('Prof Ratios'!K29,'Prof Ratios'!K30,'Prof Ratios'!K31,'Prof Ratios'!K32,'Prof Ratios'!K35,'Prof Ratios'!K36))/(COUNT('Prof Ratios'!K29,'Prof Ratios'!K30,'Prof Ratios'!K31,'Prof Ratios'!K32,'Prof Ratios'!K35,'Prof Ratios'!K36)-2)</f>
        <v/>
      </c>
      <c r="C11" s="12" t="n"/>
      <c r="D11" s="10">
        <f>IF(ISNUMBER(C11),C11,B11)</f>
        <v/>
      </c>
      <c r="E11" s="13">
        <f>1/PRODUCT(D11:D46)</f>
        <v/>
      </c>
      <c r="F11" t="inlineStr">
        <is>
          <t>2025-04, 2025-05, 2025-06, 2025-07, 2025-10, 2025-11</t>
        </is>
      </c>
    </row>
    <row r="12">
      <c r="A12" t="n">
        <v>10</v>
      </c>
      <c r="B12" s="10">
        <f>(SUM('Prof Ratios'!L28,'Prof Ratios'!L29,'Prof Ratios'!L30,'Prof Ratios'!L31,'Prof Ratios'!L34,'Prof Ratios'!L35)-MAX('Prof Ratios'!L28,'Prof Ratios'!L29,'Prof Ratios'!L30,'Prof Ratios'!L31,'Prof Ratios'!L34,'Prof Ratios'!L35)-MIN('Prof Ratios'!L28,'Prof Ratios'!L29,'Prof Ratios'!L30,'Prof Ratios'!L31,'Prof Ratios'!L34,'Prof Ratios'!L35))/(COUNT('Prof Ratios'!L28,'Prof Ratios'!L29,'Prof Ratios'!L30,'Prof Ratios'!L31,'Prof Ratios'!L34,'Prof Ratios'!L35)-2)</f>
        <v/>
      </c>
      <c r="C12" s="12" t="n"/>
      <c r="D12" s="10">
        <f>IF(ISNUMBER(C12),C12,B12)</f>
        <v/>
      </c>
      <c r="E12" s="13">
        <f>1/PRODUCT(D12:D46)</f>
        <v/>
      </c>
      <c r="F12" t="inlineStr">
        <is>
          <t>2025-03, 2025-04, 2025-05, 2025-06, 2025-09, 2025-10</t>
        </is>
      </c>
    </row>
    <row r="13">
      <c r="A13" t="n">
        <v>11</v>
      </c>
      <c r="B13" s="10">
        <f>(SUM('Prof Ratios'!M27,'Prof Ratios'!M28,'Prof Ratios'!M29,'Prof Ratios'!M30,'Prof Ratios'!M33,'Prof Ratios'!M34)-MAX('Prof Ratios'!M27,'Prof Ratios'!M28,'Prof Ratios'!M29,'Prof Ratios'!M30,'Prof Ratios'!M33,'Prof Ratios'!M34)-MIN('Prof Ratios'!M27,'Prof Ratios'!M28,'Prof Ratios'!M29,'Prof Ratios'!M30,'Prof Ratios'!M33,'Prof Ratios'!M34))/(COUNT('Prof Ratios'!M27,'Prof Ratios'!M28,'Prof Ratios'!M29,'Prof Ratios'!M30,'Prof Ratios'!M33,'Prof Ratios'!M34)-2)</f>
        <v/>
      </c>
      <c r="C13" s="12" t="n"/>
      <c r="D13" s="10">
        <f>IF(ISNUMBER(C13),C13,B13)</f>
        <v/>
      </c>
      <c r="E13" s="13">
        <f>1/PRODUCT(D13:D46)</f>
        <v/>
      </c>
      <c r="F13" t="inlineStr">
        <is>
          <t>2025-02, 2025-03, 2025-04, 2025-05, 2025-08, 2025-09</t>
        </is>
      </c>
    </row>
    <row r="14">
      <c r="A14" t="n">
        <v>12</v>
      </c>
      <c r="B14" s="10">
        <f>(SUM('Prof Ratios'!N26,'Prof Ratios'!N27,'Prof Ratios'!N28,'Prof Ratios'!N29,'Prof Ratios'!N32,'Prof Ratios'!N33)-MAX('Prof Ratios'!N26,'Prof Ratios'!N27,'Prof Ratios'!N28,'Prof Ratios'!N29,'Prof Ratios'!N32,'Prof Ratios'!N33)-MIN('Prof Ratios'!N26,'Prof Ratios'!N27,'Prof Ratios'!N28,'Prof Ratios'!N29,'Prof Ratios'!N32,'Prof Ratios'!N33))/(COUNT('Prof Ratios'!N26,'Prof Ratios'!N27,'Prof Ratios'!N28,'Prof Ratios'!N29,'Prof Ratios'!N32,'Prof Ratios'!N33)-2)</f>
        <v/>
      </c>
      <c r="C14" s="12" t="n"/>
      <c r="D14" s="10">
        <f>IF(ISNUMBER(C14),C14,B14)</f>
        <v/>
      </c>
      <c r="E14" s="13">
        <f>1/PRODUCT(D14:D46)</f>
        <v/>
      </c>
      <c r="F14" t="inlineStr">
        <is>
          <t>2025-01, 2025-02, 2025-03, 2025-04, 2025-07, 2025-08</t>
        </is>
      </c>
    </row>
    <row r="15">
      <c r="A15" t="n">
        <v>13</v>
      </c>
      <c r="B15" s="10">
        <f>(SUM('Prof Ratios'!O25,'Prof Ratios'!O26,'Prof Ratios'!O27,'Prof Ratios'!O28,'Prof Ratios'!O31,'Prof Ratios'!O32)-MAX('Prof Ratios'!O25,'Prof Ratios'!O26,'Prof Ratios'!O27,'Prof Ratios'!O28,'Prof Ratios'!O31,'Prof Ratios'!O32)-MIN('Prof Ratios'!O25,'Prof Ratios'!O26,'Prof Ratios'!O27,'Prof Ratios'!O28,'Prof Ratios'!O31,'Prof Ratios'!O32))/(COUNT('Prof Ratios'!O25,'Prof Ratios'!O26,'Prof Ratios'!O27,'Prof Ratios'!O28,'Prof Ratios'!O31,'Prof Ratios'!O32)-2)</f>
        <v/>
      </c>
      <c r="C15" s="12" t="n"/>
      <c r="D15" s="10">
        <f>IF(ISNUMBER(C15),C15,B15)</f>
        <v/>
      </c>
      <c r="E15" s="13">
        <f>1/PRODUCT(D15:D46)</f>
        <v/>
      </c>
      <c r="F15" t="inlineStr">
        <is>
          <t>2024-12, 2025-01, 2025-02, 2025-03, 2025-06, 2025-07</t>
        </is>
      </c>
    </row>
    <row r="16">
      <c r="A16" t="n">
        <v>14</v>
      </c>
      <c r="B16" s="10">
        <f>(SUM('Prof Ratios'!P24,'Prof Ratios'!P25,'Prof Ratios'!P26,'Prof Ratios'!P27,'Prof Ratios'!P30,'Prof Ratios'!P31)-MAX('Prof Ratios'!P24,'Prof Ratios'!P25,'Prof Ratios'!P26,'Prof Ratios'!P27,'Prof Ratios'!P30,'Prof Ratios'!P31)-MIN('Prof Ratios'!P24,'Prof Ratios'!P25,'Prof Ratios'!P26,'Prof Ratios'!P27,'Prof Ratios'!P30,'Prof Ratios'!P31))/(COUNT('Prof Ratios'!P24,'Prof Ratios'!P25,'Prof Ratios'!P26,'Prof Ratios'!P27,'Prof Ratios'!P30,'Prof Ratios'!P31)-2)</f>
        <v/>
      </c>
      <c r="C16" s="12" t="n"/>
      <c r="D16" s="10">
        <f>IF(ISNUMBER(C16),C16,B16)</f>
        <v/>
      </c>
      <c r="E16" s="13">
        <f>1/PRODUCT(D16:D46)</f>
        <v/>
      </c>
      <c r="F16" t="inlineStr">
        <is>
          <t>2024-11, 2024-12, 2025-01, 2025-02, 2025-05, 2025-06</t>
        </is>
      </c>
    </row>
    <row r="17">
      <c r="A17" t="n">
        <v>15</v>
      </c>
      <c r="B17" s="10">
        <f>(SUM('Prof Ratios'!Q23,'Prof Ratios'!Q24,'Prof Ratios'!Q25,'Prof Ratios'!Q26,'Prof Ratios'!Q29,'Prof Ratios'!Q30)-MAX('Prof Ratios'!Q23,'Prof Ratios'!Q24,'Prof Ratios'!Q25,'Prof Ratios'!Q26,'Prof Ratios'!Q29,'Prof Ratios'!Q30)-MIN('Prof Ratios'!Q23,'Prof Ratios'!Q24,'Prof Ratios'!Q25,'Prof Ratios'!Q26,'Prof Ratios'!Q29,'Prof Ratios'!Q30))/(COUNT('Prof Ratios'!Q23,'Prof Ratios'!Q24,'Prof Ratios'!Q25,'Prof Ratios'!Q26,'Prof Ratios'!Q29,'Prof Ratios'!Q30)-2)</f>
        <v/>
      </c>
      <c r="C17" s="12" t="n"/>
      <c r="D17" s="10">
        <f>IF(ISNUMBER(C17),C17,B17)</f>
        <v/>
      </c>
      <c r="E17" s="13">
        <f>1/PRODUCT(D17:D46)</f>
        <v/>
      </c>
      <c r="F17" t="inlineStr">
        <is>
          <t>2024-10, 2024-11, 2024-12, 2025-01, 2025-04, 2025-05</t>
        </is>
      </c>
    </row>
    <row r="18">
      <c r="A18" t="n">
        <v>16</v>
      </c>
      <c r="B18" s="10">
        <f>(SUM('Prof Ratios'!R22,'Prof Ratios'!R23,'Prof Ratios'!R24,'Prof Ratios'!R25,'Prof Ratios'!R28,'Prof Ratios'!R29)-MAX('Prof Ratios'!R22,'Prof Ratios'!R23,'Prof Ratios'!R24,'Prof Ratios'!R25,'Prof Ratios'!R28,'Prof Ratios'!R29)-MIN('Prof Ratios'!R22,'Prof Ratios'!R23,'Prof Ratios'!R24,'Prof Ratios'!R25,'Prof Ratios'!R28,'Prof Ratios'!R29))/(COUNT('Prof Ratios'!R22,'Prof Ratios'!R23,'Prof Ratios'!R24,'Prof Ratios'!R25,'Prof Ratios'!R28,'Prof Ratios'!R29)-2)</f>
        <v/>
      </c>
      <c r="C18" s="12" t="n"/>
      <c r="D18" s="10">
        <f>IF(ISNUMBER(C18),C18,B18)</f>
        <v/>
      </c>
      <c r="E18" s="13">
        <f>1/PRODUCT(D18:D46)</f>
        <v/>
      </c>
      <c r="F18" t="inlineStr">
        <is>
          <t>2024-09, 2024-10, 2024-11, 2024-12, 2025-03, 2025-04</t>
        </is>
      </c>
    </row>
    <row r="19">
      <c r="A19" t="n">
        <v>17</v>
      </c>
      <c r="B19" s="10">
        <f>(SUM('Prof Ratios'!S21,'Prof Ratios'!S22,'Prof Ratios'!S23,'Prof Ratios'!S24,'Prof Ratios'!S27,'Prof Ratios'!S28)-MAX('Prof Ratios'!S21,'Prof Ratios'!S22,'Prof Ratios'!S23,'Prof Ratios'!S24,'Prof Ratios'!S27,'Prof Ratios'!S28)-MIN('Prof Ratios'!S21,'Prof Ratios'!S22,'Prof Ratios'!S23,'Prof Ratios'!S24,'Prof Ratios'!S27,'Prof Ratios'!S28))/(COUNT('Prof Ratios'!S21,'Prof Ratios'!S22,'Prof Ratios'!S23,'Prof Ratios'!S24,'Prof Ratios'!S27,'Prof Ratios'!S28)-2)</f>
        <v/>
      </c>
      <c r="C19" s="12" t="n"/>
      <c r="D19" s="10">
        <f>IF(ISNUMBER(C19),C19,B19)</f>
        <v/>
      </c>
      <c r="E19" s="13">
        <f>1/PRODUCT(D19:D46)</f>
        <v/>
      </c>
      <c r="F19" t="inlineStr">
        <is>
          <t>2024-08, 2024-09, 2024-10, 2024-11, 2025-02, 2025-03</t>
        </is>
      </c>
    </row>
    <row r="20">
      <c r="A20" t="n">
        <v>18</v>
      </c>
      <c r="B20" s="10">
        <f>(SUM('Prof Ratios'!T20,'Prof Ratios'!T21,'Prof Ratios'!T22,'Prof Ratios'!T23,'Prof Ratios'!T26,'Prof Ratios'!T27)-MAX('Prof Ratios'!T20,'Prof Ratios'!T21,'Prof Ratios'!T22,'Prof Ratios'!T23,'Prof Ratios'!T26,'Prof Ratios'!T27)-MIN('Prof Ratios'!T20,'Prof Ratios'!T21,'Prof Ratios'!T22,'Prof Ratios'!T23,'Prof Ratios'!T26,'Prof Ratios'!T27))/(COUNT('Prof Ratios'!T20,'Prof Ratios'!T21,'Prof Ratios'!T22,'Prof Ratios'!T23,'Prof Ratios'!T26,'Prof Ratios'!T27)-2)</f>
        <v/>
      </c>
      <c r="C20" s="12" t="n"/>
      <c r="D20" s="10">
        <f>IF(ISNUMBER(C20),C20,B20)</f>
        <v/>
      </c>
      <c r="E20" s="13">
        <f>1/PRODUCT(D20:D46)</f>
        <v/>
      </c>
      <c r="F20" t="inlineStr">
        <is>
          <t>2024-07, 2024-08, 2024-09, 2024-10, 2025-01, 2025-02</t>
        </is>
      </c>
    </row>
    <row r="21">
      <c r="A21" t="n">
        <v>19</v>
      </c>
      <c r="B21" s="10">
        <f>(SUM('Prof Ratios'!U19,'Prof Ratios'!U20,'Prof Ratios'!U21,'Prof Ratios'!U22,'Prof Ratios'!U25,'Prof Ratios'!U26)-MAX('Prof Ratios'!U19,'Prof Ratios'!U20,'Prof Ratios'!U21,'Prof Ratios'!U22,'Prof Ratios'!U25,'Prof Ratios'!U26)-MIN('Prof Ratios'!U19,'Prof Ratios'!U20,'Prof Ratios'!U21,'Prof Ratios'!U22,'Prof Ratios'!U25,'Prof Ratios'!U26))/(COUNT('Prof Ratios'!U19,'Prof Ratios'!U20,'Prof Ratios'!U21,'Prof Ratios'!U22,'Prof Ratios'!U25,'Prof Ratios'!U26)-2)</f>
        <v/>
      </c>
      <c r="C21" s="12" t="n"/>
      <c r="D21" s="10">
        <f>IF(ISNUMBER(C21),C21,B21)</f>
        <v/>
      </c>
      <c r="E21" s="13">
        <f>1/PRODUCT(D21:D46)</f>
        <v/>
      </c>
      <c r="F21" t="inlineStr">
        <is>
          <t>2024-06, 2024-07, 2024-08, 2024-09, 2024-12, 2025-01</t>
        </is>
      </c>
    </row>
    <row r="22">
      <c r="A22" t="n">
        <v>20</v>
      </c>
      <c r="B22" s="10">
        <f>(SUM('Prof Ratios'!V18,'Prof Ratios'!V19,'Prof Ratios'!V20,'Prof Ratios'!V21,'Prof Ratios'!V24,'Prof Ratios'!V25)-MAX('Prof Ratios'!V18,'Prof Ratios'!V19,'Prof Ratios'!V20,'Prof Ratios'!V21,'Prof Ratios'!V24,'Prof Ratios'!V25)-MIN('Prof Ratios'!V18,'Prof Ratios'!V19,'Prof Ratios'!V20,'Prof Ratios'!V21,'Prof Ratios'!V24,'Prof Ratios'!V25))/(COUNT('Prof Ratios'!V18,'Prof Ratios'!V19,'Prof Ratios'!V20,'Prof Ratios'!V21,'Prof Ratios'!V24,'Prof Ratios'!V25)-2)</f>
        <v/>
      </c>
      <c r="C22" s="12" t="n"/>
      <c r="D22" s="10">
        <f>IF(ISNUMBER(C22),C22,B22)</f>
        <v/>
      </c>
      <c r="E22" s="13">
        <f>1/PRODUCT(D22:D46)</f>
        <v/>
      </c>
      <c r="F22" t="inlineStr">
        <is>
          <t>2024-05, 2024-06, 2024-07, 2024-08, 2024-11, 2024-12</t>
        </is>
      </c>
    </row>
    <row r="23">
      <c r="A23" t="n">
        <v>21</v>
      </c>
      <c r="B23" s="10">
        <f>(SUM('Prof Ratios'!W17,'Prof Ratios'!W18,'Prof Ratios'!W19,'Prof Ratios'!W20,'Prof Ratios'!W23,'Prof Ratios'!W24)-MAX('Prof Ratios'!W17,'Prof Ratios'!W18,'Prof Ratios'!W19,'Prof Ratios'!W20,'Prof Ratios'!W23,'Prof Ratios'!W24)-MIN('Prof Ratios'!W17,'Prof Ratios'!W18,'Prof Ratios'!W19,'Prof Ratios'!W20,'Prof Ratios'!W23,'Prof Ratios'!W24))/(COUNT('Prof Ratios'!W17,'Prof Ratios'!W18,'Prof Ratios'!W19,'Prof Ratios'!W20,'Prof Ratios'!W23,'Prof Ratios'!W24)-2)</f>
        <v/>
      </c>
      <c r="C23" s="12" t="n"/>
      <c r="D23" s="10">
        <f>IF(ISNUMBER(C23),C23,B23)</f>
        <v/>
      </c>
      <c r="E23" s="13">
        <f>1/PRODUCT(D23:D46)</f>
        <v/>
      </c>
      <c r="F23" t="inlineStr">
        <is>
          <t>2024-04, 2024-05, 2024-06, 2024-07, 2024-10, 2024-11</t>
        </is>
      </c>
    </row>
    <row r="24">
      <c r="A24" t="n">
        <v>22</v>
      </c>
      <c r="B24" s="10">
        <f>(SUM('Prof Ratios'!X16,'Prof Ratios'!X17,'Prof Ratios'!X18,'Prof Ratios'!X19,'Prof Ratios'!X22,'Prof Ratios'!X23)-MAX('Prof Ratios'!X16,'Prof Ratios'!X17,'Prof Ratios'!X18,'Prof Ratios'!X19,'Prof Ratios'!X22,'Prof Ratios'!X23)-MIN('Prof Ratios'!X16,'Prof Ratios'!X17,'Prof Ratios'!X18,'Prof Ratios'!X19,'Prof Ratios'!X22,'Prof Ratios'!X23))/(COUNT('Prof Ratios'!X16,'Prof Ratios'!X17,'Prof Ratios'!X18,'Prof Ratios'!X19,'Prof Ratios'!X22,'Prof Ratios'!X23)-2)</f>
        <v/>
      </c>
      <c r="C24" s="12" t="n"/>
      <c r="D24" s="10">
        <f>IF(ISNUMBER(C24),C24,B24)</f>
        <v/>
      </c>
      <c r="E24" s="13">
        <f>1/PRODUCT(D24:D46)</f>
        <v/>
      </c>
      <c r="F24" t="inlineStr">
        <is>
          <t>2024-03, 2024-04, 2024-05, 2024-06, 2024-09, 2024-10</t>
        </is>
      </c>
    </row>
    <row r="25">
      <c r="A25" t="n">
        <v>23</v>
      </c>
      <c r="B25" s="10">
        <f>(SUM('Prof Ratios'!Y15,'Prof Ratios'!Y16,'Prof Ratios'!Y17,'Prof Ratios'!Y18,'Prof Ratios'!Y21,'Prof Ratios'!Y22)-MAX('Prof Ratios'!Y15,'Prof Ratios'!Y16,'Prof Ratios'!Y17,'Prof Ratios'!Y18,'Prof Ratios'!Y21,'Prof Ratios'!Y22)-MIN('Prof Ratios'!Y15,'Prof Ratios'!Y16,'Prof Ratios'!Y17,'Prof Ratios'!Y18,'Prof Ratios'!Y21,'Prof Ratios'!Y22))/(COUNT('Prof Ratios'!Y15,'Prof Ratios'!Y16,'Prof Ratios'!Y17,'Prof Ratios'!Y18,'Prof Ratios'!Y21,'Prof Ratios'!Y22)-2)</f>
        <v/>
      </c>
      <c r="C25" s="12" t="n"/>
      <c r="D25" s="10">
        <f>IF(ISNUMBER(C25),C25,B25)</f>
        <v/>
      </c>
      <c r="E25" s="13">
        <f>1/PRODUCT(D25:D46)</f>
        <v/>
      </c>
      <c r="F25" t="inlineStr">
        <is>
          <t>2024-02, 2024-03, 2024-04, 2024-05, 2024-08, 2024-09</t>
        </is>
      </c>
    </row>
    <row r="26">
      <c r="A26" t="n">
        <v>24</v>
      </c>
      <c r="B26" s="10">
        <f>(SUM('Prof Ratios'!Z14,'Prof Ratios'!Z15,'Prof Ratios'!Z16,'Prof Ratios'!Z17,'Prof Ratios'!Z20,'Prof Ratios'!Z21)-MAX('Prof Ratios'!Z14,'Prof Ratios'!Z15,'Prof Ratios'!Z16,'Prof Ratios'!Z17,'Prof Ratios'!Z20,'Prof Ratios'!Z21)-MIN('Prof Ratios'!Z14,'Prof Ratios'!Z15,'Prof Ratios'!Z16,'Prof Ratios'!Z17,'Prof Ratios'!Z20,'Prof Ratios'!Z21))/(COUNT('Prof Ratios'!Z14,'Prof Ratios'!Z15,'Prof Ratios'!Z16,'Prof Ratios'!Z17,'Prof Ratios'!Z20,'Prof Ratios'!Z21)-2)</f>
        <v/>
      </c>
      <c r="C26" s="12" t="n"/>
      <c r="D26" s="10">
        <f>IF(ISNUMBER(C26),C26,B26)</f>
        <v/>
      </c>
      <c r="E26" s="13">
        <f>1/PRODUCT(D26:D46)</f>
        <v/>
      </c>
      <c r="F26" t="inlineStr">
        <is>
          <t>2024-01, 2024-02, 2024-03, 2024-04, 2024-07, 2024-08</t>
        </is>
      </c>
    </row>
    <row r="27">
      <c r="A27" t="n">
        <v>25</v>
      </c>
      <c r="B27" s="10">
        <f>(SUM('Prof Ratios'!AA13,'Prof Ratios'!AA14,'Prof Ratios'!AA15,'Prof Ratios'!AA16,'Prof Ratios'!AA19,'Prof Ratios'!AA20)-MAX('Prof Ratios'!AA13,'Prof Ratios'!AA14,'Prof Ratios'!AA15,'Prof Ratios'!AA16,'Prof Ratios'!AA19,'Prof Ratios'!AA20)-MIN('Prof Ratios'!AA13,'Prof Ratios'!AA14,'Prof Ratios'!AA15,'Prof Ratios'!AA16,'Prof Ratios'!AA19,'Prof Ratios'!AA20))/(COUNT('Prof Ratios'!AA13,'Prof Ratios'!AA14,'Prof Ratios'!AA15,'Prof Ratios'!AA16,'Prof Ratios'!AA19,'Prof Ratios'!AA20)-2)</f>
        <v/>
      </c>
      <c r="C27" s="12" t="n"/>
      <c r="D27" s="10">
        <f>IF(ISNUMBER(C27),C27,B27)</f>
        <v/>
      </c>
      <c r="E27" s="13">
        <f>1/PRODUCT(D27:D46)</f>
        <v/>
      </c>
      <c r="F27" t="inlineStr">
        <is>
          <t>2023-12, 2024-01, 2024-02, 2024-03, 2024-06, 2024-07</t>
        </is>
      </c>
    </row>
    <row r="28">
      <c r="A28" t="n">
        <v>26</v>
      </c>
      <c r="B28" s="10">
        <f>(SUM('Prof Ratios'!AB12,'Prof Ratios'!AB13,'Prof Ratios'!AB14,'Prof Ratios'!AB15,'Prof Ratios'!AB18,'Prof Ratios'!AB19)-MAX('Prof Ratios'!AB12,'Prof Ratios'!AB13,'Prof Ratios'!AB14,'Prof Ratios'!AB15,'Prof Ratios'!AB18,'Prof Ratios'!AB19)-MIN('Prof Ratios'!AB12,'Prof Ratios'!AB13,'Prof Ratios'!AB14,'Prof Ratios'!AB15,'Prof Ratios'!AB18,'Prof Ratios'!AB19))/(COUNT('Prof Ratios'!AB12,'Prof Ratios'!AB13,'Prof Ratios'!AB14,'Prof Ratios'!AB15,'Prof Ratios'!AB18,'Prof Ratios'!AB19)-2)</f>
        <v/>
      </c>
      <c r="C28" s="12" t="n"/>
      <c r="D28" s="10">
        <f>IF(ISNUMBER(C28),C28,B28)</f>
        <v/>
      </c>
      <c r="E28" s="13">
        <f>1/PRODUCT(D28:D46)</f>
        <v/>
      </c>
      <c r="F28" t="inlineStr">
        <is>
          <t>2023-11, 2023-12, 2024-01, 2024-02, 2024-05, 2024-06</t>
        </is>
      </c>
    </row>
    <row r="29">
      <c r="A29" t="n">
        <v>27</v>
      </c>
      <c r="B29" s="10">
        <f>(SUM('Prof Ratios'!AC11,'Prof Ratios'!AC12,'Prof Ratios'!AC13,'Prof Ratios'!AC14,'Prof Ratios'!AC17,'Prof Ratios'!AC18)-MAX('Prof Ratios'!AC11,'Prof Ratios'!AC12,'Prof Ratios'!AC13,'Prof Ratios'!AC14,'Prof Ratios'!AC17,'Prof Ratios'!AC18)-MIN('Prof Ratios'!AC11,'Prof Ratios'!AC12,'Prof Ratios'!AC13,'Prof Ratios'!AC14,'Prof Ratios'!AC17,'Prof Ratios'!AC18))/(COUNT('Prof Ratios'!AC11,'Prof Ratios'!AC12,'Prof Ratios'!AC13,'Prof Ratios'!AC14,'Prof Ratios'!AC17,'Prof Ratios'!AC18)-2)</f>
        <v/>
      </c>
      <c r="C29" s="12" t="n"/>
      <c r="D29" s="10">
        <f>IF(ISNUMBER(C29),C29,B29)</f>
        <v/>
      </c>
      <c r="E29" s="13">
        <f>1/PRODUCT(D29:D46)</f>
        <v/>
      </c>
      <c r="F29" t="inlineStr">
        <is>
          <t>2023-10, 2023-11, 2023-12, 2024-01, 2024-04, 2024-05</t>
        </is>
      </c>
    </row>
    <row r="30">
      <c r="A30" t="n">
        <v>28</v>
      </c>
      <c r="B30" s="10">
        <f>(SUM('Prof Ratios'!AD10,'Prof Ratios'!AD11,'Prof Ratios'!AD12,'Prof Ratios'!AD13,'Prof Ratios'!AD16,'Prof Ratios'!AD17)-MAX('Prof Ratios'!AD10,'Prof Ratios'!AD11,'Prof Ratios'!AD12,'Prof Ratios'!AD13,'Prof Ratios'!AD16,'Prof Ratios'!AD17)-MIN('Prof Ratios'!AD10,'Prof Ratios'!AD11,'Prof Ratios'!AD12,'Prof Ratios'!AD13,'Prof Ratios'!AD16,'Prof Ratios'!AD17))/(COUNT('Prof Ratios'!AD10,'Prof Ratios'!AD11,'Prof Ratios'!AD12,'Prof Ratios'!AD13,'Prof Ratios'!AD16,'Prof Ratios'!AD17)-2)</f>
        <v/>
      </c>
      <c r="C30" s="12" t="n"/>
      <c r="D30" s="10">
        <f>IF(ISNUMBER(C30),C30,B30)</f>
        <v/>
      </c>
      <c r="E30" s="13">
        <f>1/PRODUCT(D30:D46)</f>
        <v/>
      </c>
      <c r="F30" t="inlineStr">
        <is>
          <t>2023-09, 2023-10, 2023-11, 2023-12, 2024-03, 2024-04</t>
        </is>
      </c>
    </row>
    <row r="31">
      <c r="A31" t="n">
        <v>29</v>
      </c>
      <c r="B31" s="10">
        <f>(SUM('Prof Ratios'!AE9,'Prof Ratios'!AE10,'Prof Ratios'!AE11,'Prof Ratios'!AE12,'Prof Ratios'!AE15,'Prof Ratios'!AE16)-MAX('Prof Ratios'!AE9,'Prof Ratios'!AE10,'Prof Ratios'!AE11,'Prof Ratios'!AE12,'Prof Ratios'!AE15,'Prof Ratios'!AE16)-MIN('Prof Ratios'!AE9,'Prof Ratios'!AE10,'Prof Ratios'!AE11,'Prof Ratios'!AE12,'Prof Ratios'!AE15,'Prof Ratios'!AE16))/(COUNT('Prof Ratios'!AE9,'Prof Ratios'!AE10,'Prof Ratios'!AE11,'Prof Ratios'!AE12,'Prof Ratios'!AE15,'Prof Ratios'!AE16)-2)</f>
        <v/>
      </c>
      <c r="C31" s="12" t="n"/>
      <c r="D31" s="10">
        <f>IF(ISNUMBER(C31),C31,B31)</f>
        <v/>
      </c>
      <c r="E31" s="13">
        <f>1/PRODUCT(D31:D46)</f>
        <v/>
      </c>
      <c r="F31" t="inlineStr">
        <is>
          <t>2023-08, 2023-09, 2023-10, 2023-11, 2024-02, 2024-03</t>
        </is>
      </c>
    </row>
    <row r="32">
      <c r="A32" t="n">
        <v>30</v>
      </c>
      <c r="B32" s="10">
        <f>(SUM('Prof Ratios'!AF8,'Prof Ratios'!AF9,'Prof Ratios'!AF10,'Prof Ratios'!AF11,'Prof Ratios'!AF14,'Prof Ratios'!AF15)-MAX('Prof Ratios'!AF8,'Prof Ratios'!AF9,'Prof Ratios'!AF10,'Prof Ratios'!AF11,'Prof Ratios'!AF14,'Prof Ratios'!AF15)-MIN('Prof Ratios'!AF8,'Prof Ratios'!AF9,'Prof Ratios'!AF10,'Prof Ratios'!AF11,'Prof Ratios'!AF14,'Prof Ratios'!AF15))/(COUNT('Prof Ratios'!AF8,'Prof Ratios'!AF9,'Prof Ratios'!AF10,'Prof Ratios'!AF11,'Prof Ratios'!AF14,'Prof Ratios'!AF15)-2)</f>
        <v/>
      </c>
      <c r="C32" s="12" t="n"/>
      <c r="D32" s="10">
        <f>IF(ISNUMBER(C32),C32,B32)</f>
        <v/>
      </c>
      <c r="E32" s="13">
        <f>1/PRODUCT(D32:D46)</f>
        <v/>
      </c>
      <c r="F32" t="inlineStr">
        <is>
          <t>2023-07, 2023-08, 2023-09, 2023-10, 2024-01, 2024-02</t>
        </is>
      </c>
    </row>
    <row r="33">
      <c r="A33" t="n">
        <v>31</v>
      </c>
      <c r="B33" s="10">
        <f>(SUM('Prof Ratios'!AG7,'Prof Ratios'!AG8,'Prof Ratios'!AG9,'Prof Ratios'!AG10,'Prof Ratios'!AG13,'Prof Ratios'!AG14)-MAX('Prof Ratios'!AG7,'Prof Ratios'!AG8,'Prof Ratios'!AG9,'Prof Ratios'!AG10,'Prof Ratios'!AG13,'Prof Ratios'!AG14)-MIN('Prof Ratios'!AG7,'Prof Ratios'!AG8,'Prof Ratios'!AG9,'Prof Ratios'!AG10,'Prof Ratios'!AG13,'Prof Ratios'!AG14))/(COUNT('Prof Ratios'!AG7,'Prof Ratios'!AG8,'Prof Ratios'!AG9,'Prof Ratios'!AG10,'Prof Ratios'!AG13,'Prof Ratios'!AG14)-2)</f>
        <v/>
      </c>
      <c r="C33" s="12" t="n"/>
      <c r="D33" s="10">
        <f>IF(ISNUMBER(C33),C33,B33)</f>
        <v/>
      </c>
      <c r="E33" s="13">
        <f>1/PRODUCT(D33:D46)</f>
        <v/>
      </c>
      <c r="F33" t="inlineStr">
        <is>
          <t>2023-06, 2023-07, 2023-08, 2023-09, 2023-12, 2024-01</t>
        </is>
      </c>
    </row>
    <row r="34">
      <c r="A34" t="n">
        <v>32</v>
      </c>
      <c r="B34" s="10">
        <f>(SUM('Prof Ratios'!AH6,'Prof Ratios'!AH7,'Prof Ratios'!AH8,'Prof Ratios'!AH9,'Prof Ratios'!AH12,'Prof Ratios'!AH13)-MAX('Prof Ratios'!AH6,'Prof Ratios'!AH7,'Prof Ratios'!AH8,'Prof Ratios'!AH9,'Prof Ratios'!AH12,'Prof Ratios'!AH13)-MIN('Prof Ratios'!AH6,'Prof Ratios'!AH7,'Prof Ratios'!AH8,'Prof Ratios'!AH9,'Prof Ratios'!AH12,'Prof Ratios'!AH13))/(COUNT('Prof Ratios'!AH6,'Prof Ratios'!AH7,'Prof Ratios'!AH8,'Prof Ratios'!AH9,'Prof Ratios'!AH12,'Prof Ratios'!AH13)-2)</f>
        <v/>
      </c>
      <c r="C34" s="12" t="n"/>
      <c r="D34" s="10">
        <f>IF(ISNUMBER(C34),C34,B34)</f>
        <v/>
      </c>
      <c r="E34" s="13">
        <f>1/PRODUCT(D34:D46)</f>
        <v/>
      </c>
      <c r="F34" t="inlineStr">
        <is>
          <t>2023-05, 2023-06, 2023-07, 2023-08, 2023-11, 2023-12</t>
        </is>
      </c>
    </row>
    <row r="35">
      <c r="A35" t="n">
        <v>33</v>
      </c>
      <c r="B35" s="10">
        <f>(SUM('Prof Ratios'!AI5,'Prof Ratios'!AI6,'Prof Ratios'!AI7,'Prof Ratios'!AI8,'Prof Ratios'!AI11,'Prof Ratios'!AI12)-MAX('Prof Ratios'!AI5,'Prof Ratios'!AI6,'Prof Ratios'!AI7,'Prof Ratios'!AI8,'Prof Ratios'!AI11,'Prof Ratios'!AI12)-MIN('Prof Ratios'!AI5,'Prof Ratios'!AI6,'Prof Ratios'!AI7,'Prof Ratios'!AI8,'Prof Ratios'!AI11,'Prof Ratios'!AI12))/(COUNT('Prof Ratios'!AI5,'Prof Ratios'!AI6,'Prof Ratios'!AI7,'Prof Ratios'!AI8,'Prof Ratios'!AI11,'Prof Ratios'!AI12)-2)</f>
        <v/>
      </c>
      <c r="C35" s="12" t="n"/>
      <c r="D35" s="10">
        <f>IF(ISNUMBER(C35),C35,B35)</f>
        <v/>
      </c>
      <c r="E35" s="13">
        <f>1/PRODUCT(D35:D46)</f>
        <v/>
      </c>
      <c r="F35" t="inlineStr">
        <is>
          <t>2023-04, 2023-05, 2023-06, 2023-07, 2023-10, 2023-11</t>
        </is>
      </c>
    </row>
    <row r="36">
      <c r="A36" t="n">
        <v>34</v>
      </c>
      <c r="B36" s="10">
        <f>(SUM('Prof Ratios'!AJ4,'Prof Ratios'!AJ5,'Prof Ratios'!AJ6,'Prof Ratios'!AJ7,'Prof Ratios'!AJ10,'Prof Ratios'!AJ11)-MAX('Prof Ratios'!AJ4,'Prof Ratios'!AJ5,'Prof Ratios'!AJ6,'Prof Ratios'!AJ7,'Prof Ratios'!AJ10,'Prof Ratios'!AJ11)-MIN('Prof Ratios'!AJ4,'Prof Ratios'!AJ5,'Prof Ratios'!AJ6,'Prof Ratios'!AJ7,'Prof Ratios'!AJ10,'Prof Ratios'!AJ11))/(COUNT('Prof Ratios'!AJ4,'Prof Ratios'!AJ5,'Prof Ratios'!AJ6,'Prof Ratios'!AJ7,'Prof Ratios'!AJ10,'Prof Ratios'!AJ11)-2)</f>
        <v/>
      </c>
      <c r="C36" s="12" t="n"/>
      <c r="D36" s="10">
        <f>IF(ISNUMBER(C36),C36,B36)</f>
        <v/>
      </c>
      <c r="E36" s="13">
        <f>1/PRODUCT(D36:D46)</f>
        <v/>
      </c>
      <c r="F36" t="inlineStr">
        <is>
          <t>2023-03, 2023-04, 2023-05, 2023-06, 2023-09, 2023-10</t>
        </is>
      </c>
    </row>
    <row r="37">
      <c r="A37" t="n">
        <v>35</v>
      </c>
      <c r="B37" s="10">
        <f>(SUM('Prof Ratios'!AK3,'Prof Ratios'!AK4,'Prof Ratios'!AK5,'Prof Ratios'!AK6,'Prof Ratios'!AK9,'Prof Ratios'!AK10)-MAX('Prof Ratios'!AK3,'Prof Ratios'!AK4,'Prof Ratios'!AK5,'Prof Ratios'!AK6,'Prof Ratios'!AK9,'Prof Ratios'!AK10)-MIN('Prof Ratios'!AK3,'Prof Ratios'!AK4,'Prof Ratios'!AK5,'Prof Ratios'!AK6,'Prof Ratios'!AK9,'Prof Ratios'!AK10))/(COUNT('Prof Ratios'!AK3,'Prof Ratios'!AK4,'Prof Ratios'!AK5,'Prof Ratios'!AK6,'Prof Ratios'!AK9,'Prof Ratios'!AK10)-2)</f>
        <v/>
      </c>
      <c r="C37" s="12" t="n"/>
      <c r="D37" s="10">
        <f>IF(ISNUMBER(C37),C37,B37)</f>
        <v/>
      </c>
      <c r="E37" s="13">
        <f>1/PRODUCT(D37:D46)</f>
        <v/>
      </c>
      <c r="F37" t="inlineStr">
        <is>
          <t>2023-02, 2023-03, 2023-04, 2023-05, 2023-08, 2023-09</t>
        </is>
      </c>
    </row>
    <row r="38">
      <c r="A38" t="n">
        <v>36</v>
      </c>
      <c r="B38" s="10" t="n">
        <v>1</v>
      </c>
      <c r="C38" s="12" t="n"/>
      <c r="D38" s="10">
        <f>IF(ISNUMBER(C38),C38,B38)</f>
        <v/>
      </c>
      <c r="E38" s="13">
        <f>1/PRODUCT(D38:D46)</f>
        <v/>
      </c>
      <c r="F38" t="inlineStr">
        <is>
          <t>2023-01, 2023-02, 2023-03, 2023-04, 2023-07, 2023-08</t>
        </is>
      </c>
    </row>
    <row r="39">
      <c r="A39" t="n">
        <v>37</v>
      </c>
      <c r="B39" s="10" t="n">
        <v>1</v>
      </c>
      <c r="C39" s="12" t="n"/>
      <c r="D39" s="10">
        <f>IF(ISNUMBER(C39),C39,B39)</f>
        <v/>
      </c>
      <c r="E39" s="13">
        <f>1/PRODUCT(D39:D46)</f>
        <v/>
      </c>
      <c r="F39" t="inlineStr">
        <is>
          <t>2023-01, 2023-02, 2023-03, 2023-06, 2023-07</t>
        </is>
      </c>
    </row>
    <row r="40">
      <c r="A40" t="n">
        <v>38</v>
      </c>
      <c r="B40" s="10" t="n">
        <v>1</v>
      </c>
      <c r="C40" s="12" t="n"/>
      <c r="D40" s="10">
        <f>IF(ISNUMBER(C40),C40,B40)</f>
        <v/>
      </c>
      <c r="E40" s="13">
        <f>1/PRODUCT(D40:D46)</f>
        <v/>
      </c>
      <c r="F40" t="inlineStr">
        <is>
          <t>2023-01, 2023-02, 2023-05, 2023-06</t>
        </is>
      </c>
    </row>
    <row r="41">
      <c r="A41" t="n">
        <v>39</v>
      </c>
      <c r="B41" s="10" t="n">
        <v>1</v>
      </c>
      <c r="C41" s="12" t="n"/>
      <c r="D41" s="10">
        <f>IF(ISNUMBER(C41),C41,B41)</f>
        <v/>
      </c>
      <c r="E41" s="13">
        <f>1/PRODUCT(D41:D46)</f>
        <v/>
      </c>
      <c r="F41" t="inlineStr">
        <is>
          <t>2023-01, 2023-04, 2023-05</t>
        </is>
      </c>
    </row>
    <row r="42">
      <c r="A42" t="n">
        <v>40</v>
      </c>
      <c r="B42" s="10" t="n">
        <v>1</v>
      </c>
      <c r="C42" s="12" t="n"/>
      <c r="D42" s="10">
        <f>IF(ISNUMBER(C42),C42,B42)</f>
        <v/>
      </c>
      <c r="E42" s="13">
        <f>1/PRODUCT(D42:D46)</f>
        <v/>
      </c>
      <c r="F42" t="inlineStr">
        <is>
          <t>2023-03, 2023-04</t>
        </is>
      </c>
    </row>
    <row r="43">
      <c r="A43" t="n">
        <v>41</v>
      </c>
      <c r="B43" s="10" t="n">
        <v>1</v>
      </c>
      <c r="C43" s="12" t="n"/>
      <c r="D43" s="10">
        <f>IF(ISNUMBER(C43),C43,B43)</f>
        <v/>
      </c>
      <c r="E43" s="13">
        <f>1/PRODUCT(D43:D46)</f>
        <v/>
      </c>
      <c r="F43" t="inlineStr">
        <is>
          <t>2023-02, 2023-03</t>
        </is>
      </c>
    </row>
    <row r="44">
      <c r="A44" t="n">
        <v>42</v>
      </c>
      <c r="B44" s="10" t="n">
        <v>1</v>
      </c>
      <c r="C44" s="12" t="n"/>
      <c r="D44" s="10">
        <f>IF(ISNUMBER(C44),C44,B44)</f>
        <v/>
      </c>
      <c r="E44" s="13">
        <f>1/PRODUCT(D44:D46)</f>
        <v/>
      </c>
      <c r="F44" t="inlineStr">
        <is>
          <t>2023-01, 2023-02</t>
        </is>
      </c>
    </row>
    <row r="45">
      <c r="A45" t="n">
        <v>43</v>
      </c>
      <c r="B45" s="10" t="n">
        <v>1</v>
      </c>
      <c r="C45" s="12" t="n"/>
      <c r="D45" s="10">
        <f>IF(ISNUMBER(C45),C45,B45)</f>
        <v/>
      </c>
      <c r="E45" s="13">
        <f>1/PRODUCT(D45:D46)</f>
        <v/>
      </c>
      <c r="F45" t="inlineStr">
        <is>
          <t>2023-01</t>
        </is>
      </c>
    </row>
    <row r="46">
      <c r="A46" t="n">
        <v>44</v>
      </c>
      <c r="B46" s="10" t="n">
        <v>1</v>
      </c>
      <c r="C46" s="12" t="n"/>
      <c r="D46" s="10">
        <f>IF(ISNUMBER(C46),C46,B46)</f>
        <v/>
      </c>
      <c r="E46" s="13">
        <f>1/PRODUCT(D46:D46)</f>
        <v/>
      </c>
      <c r="F46" t="inlineStr">
        <is>
          <t>complete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  <col width="14" customWidth="1" min="12" max="12"/>
    <col width="18" customWidth="1" min="13" max="13"/>
  </cols>
  <sheetData>
    <row r="1">
      <c r="A1" s="3" t="inlineStr">
        <is>
          <t>Incurred</t>
        </is>
      </c>
      <c r="B1" s="3" t="inlineStr">
        <is>
          <t>Member months</t>
        </is>
      </c>
      <c r="C1" s="3" t="inlineStr">
        <is>
          <t>Age</t>
        </is>
      </c>
      <c r="D1" s="3" t="inlineStr">
        <is>
          <t>Paid to date</t>
        </is>
      </c>
      <c r="E1" s="3" t="inlineStr">
        <is>
          <t>Paid for estimation</t>
        </is>
      </c>
      <c r="F1" s="3" t="inlineStr">
        <is>
          <t>Completion factor</t>
        </is>
      </c>
      <c r="G1" s="3" t="inlineStr">
        <is>
          <t>CF ultimate</t>
        </is>
      </c>
      <c r="H1" s="3" t="inlineStr">
        <is>
          <t>Expected PMPM</t>
        </is>
      </c>
      <c r="I1" s="3" t="inlineStr">
        <is>
          <t>Expected claims</t>
        </is>
      </c>
      <c r="J1" s="3" t="inlineStr">
        <is>
          <t>B-F ultimate</t>
        </is>
      </c>
      <c r="K1" s="3" t="inlineStr">
        <is>
          <t>Selected ultimate</t>
        </is>
      </c>
      <c r="L1" s="3" t="inlineStr">
        <is>
          <t>IBNR</t>
        </is>
      </c>
      <c r="M1" s="3" t="inlineStr">
        <is>
          <t>Method</t>
        </is>
      </c>
    </row>
    <row r="2">
      <c r="A2" s="6" t="inlineStr">
        <is>
          <t>2023-01</t>
        </is>
      </c>
      <c r="B2" s="14" t="n">
        <v>185202</v>
      </c>
      <c r="C2" t="n">
        <v>44</v>
      </c>
      <c r="D2" s="4">
        <f>'Prof Triangle'!AT2</f>
        <v/>
      </c>
      <c r="E2" s="4">
        <f>'Prof Triangle'!AS2+(D2-'Prof Triangle'!AS2)/Assumptions!$B$8</f>
        <v/>
      </c>
      <c r="F2" s="13">
        <f>INDEX('Prof Factors'!$E:$E,C2+2)</f>
        <v/>
      </c>
      <c r="G2" s="4">
        <f>E2/F2</f>
        <v/>
      </c>
      <c r="H2" s="15" t="n">
        <v>163.731088</v>
      </c>
      <c r="I2" s="4">
        <f>H2*B2</f>
        <v/>
      </c>
      <c r="J2" s="4">
        <f>E2+(1-F2)*I2</f>
        <v/>
      </c>
      <c r="K2" s="4">
        <f>IF(C2&gt;=Assumptions!$B$3,G2,J2)</f>
        <v/>
      </c>
      <c r="L2" s="4">
        <f>K2-D2</f>
        <v/>
      </c>
      <c r="M2">
        <f>IF(C2&gt;=Assumptions!$B$3,"Completion factor","PMPM / B-F")</f>
        <v/>
      </c>
    </row>
    <row r="3">
      <c r="A3" s="6" t="inlineStr">
        <is>
          <t>2023-02</t>
        </is>
      </c>
      <c r="B3" s="14" t="n">
        <v>185248</v>
      </c>
      <c r="C3" t="n">
        <v>43</v>
      </c>
      <c r="D3" s="4">
        <f>'Prof Triangle'!AS3</f>
        <v/>
      </c>
      <c r="E3" s="4">
        <f>'Prof Triangle'!AR3+(D3-'Prof Triangle'!AR3)/Assumptions!$B$8</f>
        <v/>
      </c>
      <c r="F3" s="13">
        <f>INDEX('Prof Factors'!$E:$E,C3+2)</f>
        <v/>
      </c>
      <c r="G3" s="4">
        <f>E3/F3</f>
        <v/>
      </c>
      <c r="H3" s="15" t="n">
        <v>163.908636</v>
      </c>
      <c r="I3" s="4">
        <f>H3*B3</f>
        <v/>
      </c>
      <c r="J3" s="4">
        <f>E3+(1-F3)*I3</f>
        <v/>
      </c>
      <c r="K3" s="4">
        <f>IF(C3&gt;=Assumptions!$B$3,G3,J3)</f>
        <v/>
      </c>
      <c r="L3" s="4">
        <f>K3-D3</f>
        <v/>
      </c>
      <c r="M3">
        <f>IF(C3&gt;=Assumptions!$B$3,"Completion factor","PMPM / B-F")</f>
        <v/>
      </c>
    </row>
    <row r="4">
      <c r="A4" s="6" t="inlineStr">
        <is>
          <t>2023-03</t>
        </is>
      </c>
      <c r="B4" s="14" t="n">
        <v>185435</v>
      </c>
      <c r="C4" t="n">
        <v>42</v>
      </c>
      <c r="D4" s="4">
        <f>'Prof Triangle'!AR4</f>
        <v/>
      </c>
      <c r="E4" s="4">
        <f>'Prof Triangle'!AQ4+(D4-'Prof Triangle'!AQ4)/Assumptions!$B$8</f>
        <v/>
      </c>
      <c r="F4" s="13">
        <f>INDEX('Prof Factors'!$E:$E,C4+2)</f>
        <v/>
      </c>
      <c r="G4" s="4">
        <f>E4/F4</f>
        <v/>
      </c>
      <c r="H4" s="15" t="n">
        <v>177.122421</v>
      </c>
      <c r="I4" s="4">
        <f>H4*B4</f>
        <v/>
      </c>
      <c r="J4" s="4">
        <f>E4+(1-F4)*I4</f>
        <v/>
      </c>
      <c r="K4" s="4">
        <f>IF(C4&gt;=Assumptions!$B$3,G4,J4)</f>
        <v/>
      </c>
      <c r="L4" s="4">
        <f>K4-D4</f>
        <v/>
      </c>
      <c r="M4">
        <f>IF(C4&gt;=Assumptions!$B$3,"Completion factor","PMPM / B-F")</f>
        <v/>
      </c>
    </row>
    <row r="5">
      <c r="A5" s="6" t="inlineStr">
        <is>
          <t>2023-04</t>
        </is>
      </c>
      <c r="B5" s="14" t="n">
        <v>185785</v>
      </c>
      <c r="C5" t="n">
        <v>41</v>
      </c>
      <c r="D5" s="4">
        <f>'Prof Triangle'!AQ5</f>
        <v/>
      </c>
      <c r="E5" s="4">
        <f>'Prof Triangle'!AP5+(D5-'Prof Triangle'!AP5)/Assumptions!$B$8</f>
        <v/>
      </c>
      <c r="F5" s="13">
        <f>INDEX('Prof Factors'!$E:$E,C5+2)</f>
        <v/>
      </c>
      <c r="G5" s="4">
        <f>E5/F5</f>
        <v/>
      </c>
      <c r="H5" s="15" t="n">
        <v>174.813994</v>
      </c>
      <c r="I5" s="4">
        <f>H5*B5</f>
        <v/>
      </c>
      <c r="J5" s="4">
        <f>E5+(1-F5)*I5</f>
        <v/>
      </c>
      <c r="K5" s="4">
        <f>IF(C5&gt;=Assumptions!$B$3,G5,J5)</f>
        <v/>
      </c>
      <c r="L5" s="4">
        <f>K5-D5</f>
        <v/>
      </c>
      <c r="M5">
        <f>IF(C5&gt;=Assumptions!$B$3,"Completion factor","PMPM / B-F")</f>
        <v/>
      </c>
    </row>
    <row r="6">
      <c r="A6" s="6" t="inlineStr">
        <is>
          <t>2023-05</t>
        </is>
      </c>
      <c r="B6" s="14" t="n">
        <v>185684</v>
      </c>
      <c r="C6" t="n">
        <v>40</v>
      </c>
      <c r="D6" s="4">
        <f>'Prof Triangle'!AP6</f>
        <v/>
      </c>
      <c r="E6" s="4">
        <f>'Prof Triangle'!AO6+(D6-'Prof Triangle'!AO6)/Assumptions!$B$8</f>
        <v/>
      </c>
      <c r="F6" s="13">
        <f>INDEX('Prof Factors'!$E:$E,C6+2)</f>
        <v/>
      </c>
      <c r="G6" s="4">
        <f>E6/F6</f>
        <v/>
      </c>
      <c r="H6" s="15" t="n">
        <v>175.394945</v>
      </c>
      <c r="I6" s="4">
        <f>H6*B6</f>
        <v/>
      </c>
      <c r="J6" s="4">
        <f>E6+(1-F6)*I6</f>
        <v/>
      </c>
      <c r="K6" s="4">
        <f>IF(C6&gt;=Assumptions!$B$3,G6,J6)</f>
        <v/>
      </c>
      <c r="L6" s="4">
        <f>K6-D6</f>
        <v/>
      </c>
      <c r="M6">
        <f>IF(C6&gt;=Assumptions!$B$3,"Completion factor","PMPM / B-F")</f>
        <v/>
      </c>
    </row>
    <row r="7">
      <c r="A7" s="6" t="inlineStr">
        <is>
          <t>2023-06</t>
        </is>
      </c>
      <c r="B7" s="14" t="n">
        <v>186376</v>
      </c>
      <c r="C7" t="n">
        <v>39</v>
      </c>
      <c r="D7" s="4">
        <f>'Prof Triangle'!AO7</f>
        <v/>
      </c>
      <c r="E7" s="4">
        <f>'Prof Triangle'!AN7+(D7-'Prof Triangle'!AN7)/Assumptions!$B$8</f>
        <v/>
      </c>
      <c r="F7" s="13">
        <f>INDEX('Prof Factors'!$E:$E,C7+2)</f>
        <v/>
      </c>
      <c r="G7" s="4">
        <f>E7/F7</f>
        <v/>
      </c>
      <c r="H7" s="15" t="n">
        <v>169.551013</v>
      </c>
      <c r="I7" s="4">
        <f>H7*B7</f>
        <v/>
      </c>
      <c r="J7" s="4">
        <f>E7+(1-F7)*I7</f>
        <v/>
      </c>
      <c r="K7" s="4">
        <f>IF(C7&gt;=Assumptions!$B$3,G7,J7)</f>
        <v/>
      </c>
      <c r="L7" s="4">
        <f>K7-D7</f>
        <v/>
      </c>
      <c r="M7">
        <f>IF(C7&gt;=Assumptions!$B$3,"Completion factor","PMPM / B-F")</f>
        <v/>
      </c>
    </row>
    <row r="8">
      <c r="A8" s="6" t="inlineStr">
        <is>
          <t>2023-07</t>
        </is>
      </c>
      <c r="B8" s="14" t="n">
        <v>186902</v>
      </c>
      <c r="C8" t="n">
        <v>38</v>
      </c>
      <c r="D8" s="4">
        <f>'Prof Triangle'!AN8</f>
        <v/>
      </c>
      <c r="E8" s="4">
        <f>'Prof Triangle'!AM8+(D8-'Prof Triangle'!AM8)/Assumptions!$B$8</f>
        <v/>
      </c>
      <c r="F8" s="13">
        <f>INDEX('Prof Factors'!$E:$E,C8+2)</f>
        <v/>
      </c>
      <c r="G8" s="4">
        <f>E8/F8</f>
        <v/>
      </c>
      <c r="H8" s="15" t="n">
        <v>167.598038</v>
      </c>
      <c r="I8" s="4">
        <f>H8*B8</f>
        <v/>
      </c>
      <c r="J8" s="4">
        <f>E8+(1-F8)*I8</f>
        <v/>
      </c>
      <c r="K8" s="4">
        <f>IF(C8&gt;=Assumptions!$B$3,G8,J8)</f>
        <v/>
      </c>
      <c r="L8" s="4">
        <f>K8-D8</f>
        <v/>
      </c>
      <c r="M8">
        <f>IF(C8&gt;=Assumptions!$B$3,"Completion factor","PMPM / B-F")</f>
        <v/>
      </c>
    </row>
    <row r="9">
      <c r="A9" s="6" t="inlineStr">
        <is>
          <t>2023-08</t>
        </is>
      </c>
      <c r="B9" s="14" t="n">
        <v>187226</v>
      </c>
      <c r="C9" t="n">
        <v>37</v>
      </c>
      <c r="D9" s="4">
        <f>'Prof Triangle'!AM9</f>
        <v/>
      </c>
      <c r="E9" s="4">
        <f>'Prof Triangle'!AL9+(D9-'Prof Triangle'!AL9)/Assumptions!$B$8</f>
        <v/>
      </c>
      <c r="F9" s="13">
        <f>INDEX('Prof Factors'!$E:$E,C9+2)</f>
        <v/>
      </c>
      <c r="G9" s="4">
        <f>E9/F9</f>
        <v/>
      </c>
      <c r="H9" s="15" t="n">
        <v>176.705104</v>
      </c>
      <c r="I9" s="4">
        <f>H9*B9</f>
        <v/>
      </c>
      <c r="J9" s="4">
        <f>E9+(1-F9)*I9</f>
        <v/>
      </c>
      <c r="K9" s="4">
        <f>IF(C9&gt;=Assumptions!$B$3,G9,J9)</f>
        <v/>
      </c>
      <c r="L9" s="4">
        <f>K9-D9</f>
        <v/>
      </c>
      <c r="M9">
        <f>IF(C9&gt;=Assumptions!$B$3,"Completion factor","PMPM / B-F")</f>
        <v/>
      </c>
    </row>
    <row r="10">
      <c r="A10" s="6" t="inlineStr">
        <is>
          <t>2023-09</t>
        </is>
      </c>
      <c r="B10" s="14" t="n">
        <v>187750</v>
      </c>
      <c r="C10" t="n">
        <v>36</v>
      </c>
      <c r="D10" s="4">
        <f>'Prof Triangle'!AL10</f>
        <v/>
      </c>
      <c r="E10" s="4">
        <f>'Prof Triangle'!AK10+(D10-'Prof Triangle'!AK10)/Assumptions!$B$8</f>
        <v/>
      </c>
      <c r="F10" s="13">
        <f>INDEX('Prof Factors'!$E:$E,C10+2)</f>
        <v/>
      </c>
      <c r="G10" s="4">
        <f>E10/F10</f>
        <v/>
      </c>
      <c r="H10" s="15" t="n">
        <v>172.520285</v>
      </c>
      <c r="I10" s="4">
        <f>H10*B10</f>
        <v/>
      </c>
      <c r="J10" s="4">
        <f>E10+(1-F10)*I10</f>
        <v/>
      </c>
      <c r="K10" s="4">
        <f>IF(C10&gt;=Assumptions!$B$3,G10,J10)</f>
        <v/>
      </c>
      <c r="L10" s="4">
        <f>K10-D10</f>
        <v/>
      </c>
      <c r="M10">
        <f>IF(C10&gt;=Assumptions!$B$3,"Completion factor","PMPM / B-F")</f>
        <v/>
      </c>
    </row>
    <row r="11">
      <c r="A11" s="6" t="inlineStr">
        <is>
          <t>2023-10</t>
        </is>
      </c>
      <c r="B11" s="14" t="n">
        <v>187725</v>
      </c>
      <c r="C11" t="n">
        <v>35</v>
      </c>
      <c r="D11" s="4">
        <f>'Prof Triangle'!AK11</f>
        <v/>
      </c>
      <c r="E11" s="4">
        <f>'Prof Triangle'!AJ11+(D11-'Prof Triangle'!AJ11)/Assumptions!$B$8</f>
        <v/>
      </c>
      <c r="F11" s="13">
        <f>INDEX('Prof Factors'!$E:$E,C11+2)</f>
        <v/>
      </c>
      <c r="G11" s="4">
        <f>E11/F11</f>
        <v/>
      </c>
      <c r="H11" s="15" t="n">
        <v>184.15257</v>
      </c>
      <c r="I11" s="4">
        <f>H11*B11</f>
        <v/>
      </c>
      <c r="J11" s="4">
        <f>E11+(1-F11)*I11</f>
        <v/>
      </c>
      <c r="K11" s="4">
        <f>IF(C11&gt;=Assumptions!$B$3,G11,J11)</f>
        <v/>
      </c>
      <c r="L11" s="4">
        <f>K11-D11</f>
        <v/>
      </c>
      <c r="M11">
        <f>IF(C11&gt;=Assumptions!$B$3,"Completion factor","PMPM / B-F")</f>
        <v/>
      </c>
    </row>
    <row r="12">
      <c r="A12" s="6" t="inlineStr">
        <is>
          <t>2023-11</t>
        </is>
      </c>
      <c r="B12" s="14" t="n">
        <v>187816</v>
      </c>
      <c r="C12" t="n">
        <v>34</v>
      </c>
      <c r="D12" s="4">
        <f>'Prof Triangle'!AJ12</f>
        <v/>
      </c>
      <c r="E12" s="4">
        <f>'Prof Triangle'!AI12+(D12-'Prof Triangle'!AI12)/Assumptions!$B$8</f>
        <v/>
      </c>
      <c r="F12" s="13">
        <f>INDEX('Prof Factors'!$E:$E,C12+2)</f>
        <v/>
      </c>
      <c r="G12" s="4">
        <f>E12/F12</f>
        <v/>
      </c>
      <c r="H12" s="15" t="n">
        <v>177.829967</v>
      </c>
      <c r="I12" s="4">
        <f>H12*B12</f>
        <v/>
      </c>
      <c r="J12" s="4">
        <f>E12+(1-F12)*I12</f>
        <v/>
      </c>
      <c r="K12" s="4">
        <f>IF(C12&gt;=Assumptions!$B$3,G12,J12)</f>
        <v/>
      </c>
      <c r="L12" s="4">
        <f>K12-D12</f>
        <v/>
      </c>
      <c r="M12">
        <f>IF(C12&gt;=Assumptions!$B$3,"Completion factor","PMPM / B-F")</f>
        <v/>
      </c>
    </row>
    <row r="13">
      <c r="A13" s="6" t="inlineStr">
        <is>
          <t>2023-12</t>
        </is>
      </c>
      <c r="B13" s="14" t="n">
        <v>188296</v>
      </c>
      <c r="C13" t="n">
        <v>33</v>
      </c>
      <c r="D13" s="4">
        <f>'Prof Triangle'!AI13</f>
        <v/>
      </c>
      <c r="E13" s="4">
        <f>'Prof Triangle'!AH13+(D13-'Prof Triangle'!AH13)/Assumptions!$B$8</f>
        <v/>
      </c>
      <c r="F13" s="13">
        <f>INDEX('Prof Factors'!$E:$E,C13+2)</f>
        <v/>
      </c>
      <c r="G13" s="4">
        <f>E13/F13</f>
        <v/>
      </c>
      <c r="H13" s="15" t="n">
        <v>192.166974</v>
      </c>
      <c r="I13" s="4">
        <f>H13*B13</f>
        <v/>
      </c>
      <c r="J13" s="4">
        <f>E13+(1-F13)*I13</f>
        <v/>
      </c>
      <c r="K13" s="4">
        <f>IF(C13&gt;=Assumptions!$B$3,G13,J13)</f>
        <v/>
      </c>
      <c r="L13" s="4">
        <f>K13-D13</f>
        <v/>
      </c>
      <c r="M13">
        <f>IF(C13&gt;=Assumptions!$B$3,"Completion factor","PMPM / B-F")</f>
        <v/>
      </c>
    </row>
    <row r="14">
      <c r="A14" s="6" t="inlineStr">
        <is>
          <t>2024-01</t>
        </is>
      </c>
      <c r="B14" s="14" t="n">
        <v>195186</v>
      </c>
      <c r="C14" t="n">
        <v>32</v>
      </c>
      <c r="D14" s="4">
        <f>'Prof Triangle'!AH14</f>
        <v/>
      </c>
      <c r="E14" s="4">
        <f>'Prof Triangle'!AG14+(D14-'Prof Triangle'!AG14)/Assumptions!$B$8</f>
        <v/>
      </c>
      <c r="F14" s="13">
        <f>INDEX('Prof Factors'!$E:$E,C14+2)</f>
        <v/>
      </c>
      <c r="G14" s="4">
        <f>E14/F14</f>
        <v/>
      </c>
      <c r="H14" s="15" t="n">
        <v>171.680619</v>
      </c>
      <c r="I14" s="4">
        <f>H14*B14</f>
        <v/>
      </c>
      <c r="J14" s="4">
        <f>E14+(1-F14)*I14</f>
        <v/>
      </c>
      <c r="K14" s="4">
        <f>IF(C14&gt;=Assumptions!$B$3,G14,J14)</f>
        <v/>
      </c>
      <c r="L14" s="4">
        <f>K14-D14</f>
        <v/>
      </c>
      <c r="M14">
        <f>IF(C14&gt;=Assumptions!$B$3,"Completion factor","PMPM / B-F")</f>
        <v/>
      </c>
    </row>
    <row r="15">
      <c r="A15" s="6" t="inlineStr">
        <is>
          <t>2024-02</t>
        </is>
      </c>
      <c r="B15" s="14" t="n">
        <v>195754</v>
      </c>
      <c r="C15" t="n">
        <v>31</v>
      </c>
      <c r="D15" s="4">
        <f>'Prof Triangle'!AG15</f>
        <v/>
      </c>
      <c r="E15" s="4">
        <f>'Prof Triangle'!AF15+(D15-'Prof Triangle'!AF15)/Assumptions!$B$8</f>
        <v/>
      </c>
      <c r="F15" s="13">
        <f>INDEX('Prof Factors'!$E:$E,C15+2)</f>
        <v/>
      </c>
      <c r="G15" s="4">
        <f>E15/F15</f>
        <v/>
      </c>
      <c r="H15" s="15" t="n">
        <v>171.866787</v>
      </c>
      <c r="I15" s="4">
        <f>H15*B15</f>
        <v/>
      </c>
      <c r="J15" s="4">
        <f>E15+(1-F15)*I15</f>
        <v/>
      </c>
      <c r="K15" s="4">
        <f>IF(C15&gt;=Assumptions!$B$3,G15,J15)</f>
        <v/>
      </c>
      <c r="L15" s="4">
        <f>K15-D15</f>
        <v/>
      </c>
      <c r="M15">
        <f>IF(C15&gt;=Assumptions!$B$3,"Completion factor","PMPM / B-F")</f>
        <v/>
      </c>
    </row>
    <row r="16">
      <c r="A16" s="6" t="inlineStr">
        <is>
          <t>2024-03</t>
        </is>
      </c>
      <c r="B16" s="14" t="n">
        <v>196371</v>
      </c>
      <c r="C16" t="n">
        <v>30</v>
      </c>
      <c r="D16" s="4">
        <f>'Prof Triangle'!AF16</f>
        <v/>
      </c>
      <c r="E16" s="4">
        <f>'Prof Triangle'!AE16+(D16-'Prof Triangle'!AE16)/Assumptions!$B$8</f>
        <v/>
      </c>
      <c r="F16" s="13">
        <f>INDEX('Prof Factors'!$E:$E,C16+2)</f>
        <v/>
      </c>
      <c r="G16" s="4">
        <f>E16/F16</f>
        <v/>
      </c>
      <c r="H16" s="15" t="n">
        <v>185.722132</v>
      </c>
      <c r="I16" s="4">
        <f>H16*B16</f>
        <v/>
      </c>
      <c r="J16" s="4">
        <f>E16+(1-F16)*I16</f>
        <v/>
      </c>
      <c r="K16" s="4">
        <f>IF(C16&gt;=Assumptions!$B$3,G16,J16)</f>
        <v/>
      </c>
      <c r="L16" s="4">
        <f>K16-D16</f>
        <v/>
      </c>
      <c r="M16">
        <f>IF(C16&gt;=Assumptions!$B$3,"Completion factor","PMPM / B-F")</f>
        <v/>
      </c>
    </row>
    <row r="17">
      <c r="A17" s="6" t="inlineStr">
        <is>
          <t>2024-04</t>
        </is>
      </c>
      <c r="B17" s="14" t="n">
        <v>196912</v>
      </c>
      <c r="C17" t="n">
        <v>29</v>
      </c>
      <c r="D17" s="4">
        <f>'Prof Triangle'!AE17</f>
        <v/>
      </c>
      <c r="E17" s="4">
        <f>'Prof Triangle'!AD17+(D17-'Prof Triangle'!AD17)/Assumptions!$B$8</f>
        <v/>
      </c>
      <c r="F17" s="13">
        <f>INDEX('Prof Factors'!$E:$E,C17+2)</f>
        <v/>
      </c>
      <c r="G17" s="4">
        <f>E17/F17</f>
        <v/>
      </c>
      <c r="H17" s="15" t="n">
        <v>183.301626</v>
      </c>
      <c r="I17" s="4">
        <f>H17*B17</f>
        <v/>
      </c>
      <c r="J17" s="4">
        <f>E17+(1-F17)*I17</f>
        <v/>
      </c>
      <c r="K17" s="4">
        <f>IF(C17&gt;=Assumptions!$B$3,G17,J17)</f>
        <v/>
      </c>
      <c r="L17" s="4">
        <f>K17-D17</f>
        <v/>
      </c>
      <c r="M17">
        <f>IF(C17&gt;=Assumptions!$B$3,"Completion factor","PMPM / B-F")</f>
        <v/>
      </c>
    </row>
    <row r="18">
      <c r="A18" s="6" t="inlineStr">
        <is>
          <t>2024-05</t>
        </is>
      </c>
      <c r="B18" s="14" t="n">
        <v>197352</v>
      </c>
      <c r="C18" t="n">
        <v>28</v>
      </c>
      <c r="D18" s="4">
        <f>'Prof Triangle'!AD18</f>
        <v/>
      </c>
      <c r="E18" s="4">
        <f>'Prof Triangle'!AC18+(D18-'Prof Triangle'!AC18)/Assumptions!$B$8</f>
        <v/>
      </c>
      <c r="F18" s="13">
        <f>INDEX('Prof Factors'!$E:$E,C18+2)</f>
        <v/>
      </c>
      <c r="G18" s="4">
        <f>E18/F18</f>
        <v/>
      </c>
      <c r="H18" s="15" t="n">
        <v>183.910784</v>
      </c>
      <c r="I18" s="4">
        <f>H18*B18</f>
        <v/>
      </c>
      <c r="J18" s="4">
        <f>E18+(1-F18)*I18</f>
        <v/>
      </c>
      <c r="K18" s="4">
        <f>IF(C18&gt;=Assumptions!$B$3,G18,J18)</f>
        <v/>
      </c>
      <c r="L18" s="4">
        <f>K18-D18</f>
        <v/>
      </c>
      <c r="M18">
        <f>IF(C18&gt;=Assumptions!$B$3,"Completion factor","PMPM / B-F")</f>
        <v/>
      </c>
    </row>
    <row r="19">
      <c r="A19" s="6" t="inlineStr">
        <is>
          <t>2024-06</t>
        </is>
      </c>
      <c r="B19" s="14" t="n">
        <v>198493</v>
      </c>
      <c r="C19" t="n">
        <v>27</v>
      </c>
      <c r="D19" s="4">
        <f>'Prof Triangle'!AC19</f>
        <v/>
      </c>
      <c r="E19" s="4">
        <f>'Prof Triangle'!AB19+(D19-'Prof Triangle'!AB19)/Assumptions!$B$8</f>
        <v/>
      </c>
      <c r="F19" s="13">
        <f>INDEX('Prof Factors'!$E:$E,C19+2)</f>
        <v/>
      </c>
      <c r="G19" s="4">
        <f>E19/F19</f>
        <v/>
      </c>
      <c r="H19" s="15" t="n">
        <v>177.783115</v>
      </c>
      <c r="I19" s="4">
        <f>H19*B19</f>
        <v/>
      </c>
      <c r="J19" s="4">
        <f>E19+(1-F19)*I19</f>
        <v/>
      </c>
      <c r="K19" s="4">
        <f>IF(C19&gt;=Assumptions!$B$3,G19,J19)</f>
        <v/>
      </c>
      <c r="L19" s="4">
        <f>K19-D19</f>
        <v/>
      </c>
      <c r="M19">
        <f>IF(C19&gt;=Assumptions!$B$3,"Completion factor","PMPM / B-F")</f>
        <v/>
      </c>
    </row>
    <row r="20">
      <c r="A20" s="6" t="inlineStr">
        <is>
          <t>2024-07</t>
        </is>
      </c>
      <c r="B20" s="14" t="n">
        <v>198829</v>
      </c>
      <c r="C20" t="n">
        <v>26</v>
      </c>
      <c r="D20" s="4">
        <f>'Prof Triangle'!AB20</f>
        <v/>
      </c>
      <c r="E20" s="4">
        <f>'Prof Triangle'!AA20+(D20-'Prof Triangle'!AA20)/Assumptions!$B$8</f>
        <v/>
      </c>
      <c r="F20" s="13">
        <f>INDEX('Prof Factors'!$E:$E,C20+2)</f>
        <v/>
      </c>
      <c r="G20" s="4">
        <f>E20/F20</f>
        <v/>
      </c>
      <c r="H20" s="15" t="n">
        <v>175.735318</v>
      </c>
      <c r="I20" s="4">
        <f>H20*B20</f>
        <v/>
      </c>
      <c r="J20" s="4">
        <f>E20+(1-F20)*I20</f>
        <v/>
      </c>
      <c r="K20" s="4">
        <f>IF(C20&gt;=Assumptions!$B$3,G20,J20)</f>
        <v/>
      </c>
      <c r="L20" s="4">
        <f>K20-D20</f>
        <v/>
      </c>
      <c r="M20">
        <f>IF(C20&gt;=Assumptions!$B$3,"Completion factor","PMPM / B-F")</f>
        <v/>
      </c>
    </row>
    <row r="21">
      <c r="A21" s="6" t="inlineStr">
        <is>
          <t>2024-08</t>
        </is>
      </c>
      <c r="B21" s="14" t="n">
        <v>199099</v>
      </c>
      <c r="C21" t="n">
        <v>25</v>
      </c>
      <c r="D21" s="4">
        <f>'Prof Triangle'!AA21</f>
        <v/>
      </c>
      <c r="E21" s="4">
        <f>'Prof Triangle'!Z21+(D21-'Prof Triangle'!Z21)/Assumptions!$B$8</f>
        <v/>
      </c>
      <c r="F21" s="13">
        <f>INDEX('Prof Factors'!$E:$E,C21+2)</f>
        <v/>
      </c>
      <c r="G21" s="4">
        <f>E21/F21</f>
        <v/>
      </c>
      <c r="H21" s="15" t="n">
        <v>185.284554</v>
      </c>
      <c r="I21" s="4">
        <f>H21*B21</f>
        <v/>
      </c>
      <c r="J21" s="4">
        <f>E21+(1-F21)*I21</f>
        <v/>
      </c>
      <c r="K21" s="4">
        <f>IF(C21&gt;=Assumptions!$B$3,G21,J21)</f>
        <v/>
      </c>
      <c r="L21" s="4">
        <f>K21-D21</f>
        <v/>
      </c>
      <c r="M21">
        <f>IF(C21&gt;=Assumptions!$B$3,"Completion factor","PMPM / B-F")</f>
        <v/>
      </c>
    </row>
    <row r="22">
      <c r="A22" s="6" t="inlineStr">
        <is>
          <t>2024-09</t>
        </is>
      </c>
      <c r="B22" s="14" t="n">
        <v>199429</v>
      </c>
      <c r="C22" t="n">
        <v>24</v>
      </c>
      <c r="D22" s="4">
        <f>'Prof Triangle'!Z22</f>
        <v/>
      </c>
      <c r="E22" s="4">
        <f>'Prof Triangle'!Y22+(D22-'Prof Triangle'!Y22)/Assumptions!$B$8</f>
        <v/>
      </c>
      <c r="F22" s="13">
        <f>INDEX('Prof Factors'!$E:$E,C22+2)</f>
        <v/>
      </c>
      <c r="G22" s="4">
        <f>E22/F22</f>
        <v/>
      </c>
      <c r="H22" s="15" t="n">
        <v>180.896553</v>
      </c>
      <c r="I22" s="4">
        <f>H22*B22</f>
        <v/>
      </c>
      <c r="J22" s="4">
        <f>E22+(1-F22)*I22</f>
        <v/>
      </c>
      <c r="K22" s="4">
        <f>IF(C22&gt;=Assumptions!$B$3,G22,J22)</f>
        <v/>
      </c>
      <c r="L22" s="4">
        <f>K22-D22</f>
        <v/>
      </c>
      <c r="M22">
        <f>IF(C22&gt;=Assumptions!$B$3,"Completion factor","PMPM / B-F")</f>
        <v/>
      </c>
    </row>
    <row r="23">
      <c r="A23" s="6" t="inlineStr">
        <is>
          <t>2024-10</t>
        </is>
      </c>
      <c r="B23" s="14" t="n">
        <v>199749</v>
      </c>
      <c r="C23" t="n">
        <v>23</v>
      </c>
      <c r="D23" s="4">
        <f>'Prof Triangle'!Y23</f>
        <v/>
      </c>
      <c r="E23" s="4">
        <f>'Prof Triangle'!X23+(D23-'Prof Triangle'!X23)/Assumptions!$B$8</f>
        <v/>
      </c>
      <c r="F23" s="13">
        <f>INDEX('Prof Factors'!$E:$E,C23+2)</f>
        <v/>
      </c>
      <c r="G23" s="4">
        <f>E23/F23</f>
        <v/>
      </c>
      <c r="H23" s="15" t="n">
        <v>193.093612</v>
      </c>
      <c r="I23" s="4">
        <f>H23*B23</f>
        <v/>
      </c>
      <c r="J23" s="4">
        <f>E23+(1-F23)*I23</f>
        <v/>
      </c>
      <c r="K23" s="4">
        <f>IF(C23&gt;=Assumptions!$B$3,G23,J23)</f>
        <v/>
      </c>
      <c r="L23" s="4">
        <f>K23-D23</f>
        <v/>
      </c>
      <c r="M23">
        <f>IF(C23&gt;=Assumptions!$B$3,"Completion factor","PMPM / B-F")</f>
        <v/>
      </c>
    </row>
    <row r="24">
      <c r="A24" s="6" t="inlineStr">
        <is>
          <t>2024-11</t>
        </is>
      </c>
      <c r="B24" s="14" t="n">
        <v>200252</v>
      </c>
      <c r="C24" t="n">
        <v>22</v>
      </c>
      <c r="D24" s="4">
        <f>'Prof Triangle'!X24</f>
        <v/>
      </c>
      <c r="E24" s="4">
        <f>'Prof Triangle'!W24+(D24-'Prof Triangle'!W24)/Assumptions!$B$8</f>
        <v/>
      </c>
      <c r="F24" s="13">
        <f>INDEX('Prof Factors'!$E:$E,C24+2)</f>
        <v/>
      </c>
      <c r="G24" s="4">
        <f>E24/F24</f>
        <v/>
      </c>
      <c r="H24" s="15" t="n">
        <v>186.464032</v>
      </c>
      <c r="I24" s="4">
        <f>H24*B24</f>
        <v/>
      </c>
      <c r="J24" s="4">
        <f>E24+(1-F24)*I24</f>
        <v/>
      </c>
      <c r="K24" s="4">
        <f>IF(C24&gt;=Assumptions!$B$3,G24,J24)</f>
        <v/>
      </c>
      <c r="L24" s="4">
        <f>K24-D24</f>
        <v/>
      </c>
      <c r="M24">
        <f>IF(C24&gt;=Assumptions!$B$3,"Completion factor","PMPM / B-F")</f>
        <v/>
      </c>
    </row>
    <row r="25">
      <c r="A25" s="6" t="inlineStr">
        <is>
          <t>2024-12</t>
        </is>
      </c>
      <c r="B25" s="14" t="n">
        <v>200297</v>
      </c>
      <c r="C25" t="n">
        <v>21</v>
      </c>
      <c r="D25" s="4">
        <f>'Prof Triangle'!W25</f>
        <v/>
      </c>
      <c r="E25" s="4">
        <f>'Prof Triangle'!V25+(D25-'Prof Triangle'!V25)/Assumptions!$B$8</f>
        <v/>
      </c>
      <c r="F25" s="13">
        <f>INDEX('Prof Factors'!$E:$E,C25+2)</f>
        <v/>
      </c>
      <c r="G25" s="4">
        <f>E25/F25</f>
        <v/>
      </c>
      <c r="H25" s="15" t="n">
        <v>201.497134</v>
      </c>
      <c r="I25" s="4">
        <f>H25*B25</f>
        <v/>
      </c>
      <c r="J25" s="4">
        <f>E25+(1-F25)*I25</f>
        <v/>
      </c>
      <c r="K25" s="4">
        <f>IF(C25&gt;=Assumptions!$B$3,G25,J25)</f>
        <v/>
      </c>
      <c r="L25" s="4">
        <f>K25-D25</f>
        <v/>
      </c>
      <c r="M25">
        <f>IF(C25&gt;=Assumptions!$B$3,"Completion factor","PMPM / B-F")</f>
        <v/>
      </c>
    </row>
    <row r="26">
      <c r="A26" s="6" t="inlineStr">
        <is>
          <t>2025-01</t>
        </is>
      </c>
      <c r="B26" s="14" t="n">
        <v>206379</v>
      </c>
      <c r="C26" t="n">
        <v>20</v>
      </c>
      <c r="D26" s="4">
        <f>'Prof Triangle'!V26</f>
        <v/>
      </c>
      <c r="E26" s="4">
        <f>'Prof Triangle'!U26+(D26-'Prof Triangle'!U26)/Assumptions!$B$8</f>
        <v/>
      </c>
      <c r="F26" s="13">
        <f>INDEX('Prof Factors'!$E:$E,C26+2)</f>
        <v/>
      </c>
      <c r="G26" s="4">
        <f>E26/F26</f>
        <v/>
      </c>
      <c r="H26" s="15" t="n">
        <v>180.016118</v>
      </c>
      <c r="I26" s="4">
        <f>H26*B26</f>
        <v/>
      </c>
      <c r="J26" s="4">
        <f>E26+(1-F26)*I26</f>
        <v/>
      </c>
      <c r="K26" s="4">
        <f>IF(C26&gt;=Assumptions!$B$3,G26,J26)</f>
        <v/>
      </c>
      <c r="L26" s="4">
        <f>K26-D26</f>
        <v/>
      </c>
      <c r="M26">
        <f>IF(C26&gt;=Assumptions!$B$3,"Completion factor","PMPM / B-F")</f>
        <v/>
      </c>
    </row>
    <row r="27">
      <c r="A27" s="6" t="inlineStr">
        <is>
          <t>2025-02</t>
        </is>
      </c>
      <c r="B27" s="14" t="n">
        <v>206414</v>
      </c>
      <c r="C27" t="n">
        <v>19</v>
      </c>
      <c r="D27" s="4">
        <f>'Prof Triangle'!U27</f>
        <v/>
      </c>
      <c r="E27" s="4">
        <f>'Prof Triangle'!T27+(D27-'Prof Triangle'!T27)/Assumptions!$B$8</f>
        <v/>
      </c>
      <c r="F27" s="13">
        <f>INDEX('Prof Factors'!$E:$E,C27+2)</f>
        <v/>
      </c>
      <c r="G27" s="4">
        <f>E27/F27</f>
        <v/>
      </c>
      <c r="H27" s="15" t="n">
        <v>180.211325</v>
      </c>
      <c r="I27" s="4">
        <f>H27*B27</f>
        <v/>
      </c>
      <c r="J27" s="4">
        <f>E27+(1-F27)*I27</f>
        <v/>
      </c>
      <c r="K27" s="4">
        <f>IF(C27&gt;=Assumptions!$B$3,G27,J27)</f>
        <v/>
      </c>
      <c r="L27" s="4">
        <f>K27-D27</f>
        <v/>
      </c>
      <c r="M27">
        <f>IF(C27&gt;=Assumptions!$B$3,"Completion factor","PMPM / B-F")</f>
        <v/>
      </c>
    </row>
    <row r="28">
      <c r="A28" s="6" t="inlineStr">
        <is>
          <t>2025-03</t>
        </is>
      </c>
      <c r="B28" s="14" t="n">
        <v>207034</v>
      </c>
      <c r="C28" t="n">
        <v>18</v>
      </c>
      <c r="D28" s="4">
        <f>'Prof Triangle'!T28</f>
        <v/>
      </c>
      <c r="E28" s="4">
        <f>'Prof Triangle'!S28+(D28-'Prof Triangle'!S28)/Assumptions!$B$8</f>
        <v/>
      </c>
      <c r="F28" s="13">
        <f>INDEX('Prof Factors'!$E:$E,C28+2)</f>
        <v/>
      </c>
      <c r="G28" s="4">
        <f>E28/F28</f>
        <v/>
      </c>
      <c r="H28" s="15" t="n">
        <v>194.739381</v>
      </c>
      <c r="I28" s="4">
        <f>H28*B28</f>
        <v/>
      </c>
      <c r="J28" s="4">
        <f>E28+(1-F28)*I28</f>
        <v/>
      </c>
      <c r="K28" s="4">
        <f>IF(C28&gt;=Assumptions!$B$3,G28,J28)</f>
        <v/>
      </c>
      <c r="L28" s="4">
        <f>K28-D28</f>
        <v/>
      </c>
      <c r="M28">
        <f>IF(C28&gt;=Assumptions!$B$3,"Completion factor","PMPM / B-F")</f>
        <v/>
      </c>
    </row>
    <row r="29">
      <c r="A29" s="6" t="inlineStr">
        <is>
          <t>2025-04</t>
        </is>
      </c>
      <c r="B29" s="14" t="n">
        <v>207074</v>
      </c>
      <c r="C29" t="n">
        <v>17</v>
      </c>
      <c r="D29" s="4">
        <f>'Prof Triangle'!S29</f>
        <v/>
      </c>
      <c r="E29" s="4">
        <f>'Prof Triangle'!R29+(D29-'Prof Triangle'!R29)/Assumptions!$B$8</f>
        <v/>
      </c>
      <c r="F29" s="13">
        <f>INDEX('Prof Factors'!$E:$E,C29+2)</f>
        <v/>
      </c>
      <c r="G29" s="4">
        <f>E29/F29</f>
        <v/>
      </c>
      <c r="H29" s="15" t="n">
        <v>192.201353</v>
      </c>
      <c r="I29" s="4">
        <f>H29*B29</f>
        <v/>
      </c>
      <c r="J29" s="4">
        <f>E29+(1-F29)*I29</f>
        <v/>
      </c>
      <c r="K29" s="4">
        <f>IF(C29&gt;=Assumptions!$B$3,G29,J29)</f>
        <v/>
      </c>
      <c r="L29" s="4">
        <f>K29-D29</f>
        <v/>
      </c>
      <c r="M29">
        <f>IF(C29&gt;=Assumptions!$B$3,"Completion factor","PMPM / B-F")</f>
        <v/>
      </c>
    </row>
    <row r="30">
      <c r="A30" s="6" t="inlineStr">
        <is>
          <t>2025-05</t>
        </is>
      </c>
      <c r="B30" s="14" t="n">
        <v>207656</v>
      </c>
      <c r="C30" t="n">
        <v>16</v>
      </c>
      <c r="D30" s="4">
        <f>'Prof Triangle'!R30</f>
        <v/>
      </c>
      <c r="E30" s="4">
        <f>'Prof Triangle'!Q30+(D30-'Prof Triangle'!Q30)/Assumptions!$B$8</f>
        <v/>
      </c>
      <c r="F30" s="13">
        <f>INDEX('Prof Factors'!$E:$E,C30+2)</f>
        <v/>
      </c>
      <c r="G30" s="4">
        <f>E30/F30</f>
        <v/>
      </c>
      <c r="H30" s="15" t="n">
        <v>192.840087</v>
      </c>
      <c r="I30" s="4">
        <f>H30*B30</f>
        <v/>
      </c>
      <c r="J30" s="4">
        <f>E30+(1-F30)*I30</f>
        <v/>
      </c>
      <c r="K30" s="4">
        <f>IF(C30&gt;=Assumptions!$B$3,G30,J30)</f>
        <v/>
      </c>
      <c r="L30" s="4">
        <f>K30-D30</f>
        <v/>
      </c>
      <c r="M30">
        <f>IF(C30&gt;=Assumptions!$B$3,"Completion factor","PMPM / B-F")</f>
        <v/>
      </c>
    </row>
    <row r="31">
      <c r="A31" s="6" t="inlineStr">
        <is>
          <t>2025-06</t>
        </is>
      </c>
      <c r="B31" s="14" t="n">
        <v>208551</v>
      </c>
      <c r="C31" t="n">
        <v>15</v>
      </c>
      <c r="D31" s="4">
        <f>'Prof Triangle'!Q31</f>
        <v/>
      </c>
      <c r="E31" s="4">
        <f>'Prof Triangle'!P31+(D31-'Prof Triangle'!P31)/Assumptions!$B$8</f>
        <v/>
      </c>
      <c r="F31" s="13">
        <f>INDEX('Prof Factors'!$E:$E,C31+2)</f>
        <v/>
      </c>
      <c r="G31" s="4">
        <f>E31/F31</f>
        <v/>
      </c>
      <c r="H31" s="15" t="n">
        <v>186.414905</v>
      </c>
      <c r="I31" s="4">
        <f>H31*B31</f>
        <v/>
      </c>
      <c r="J31" s="4">
        <f>E31+(1-F31)*I31</f>
        <v/>
      </c>
      <c r="K31" s="4">
        <f>IF(C31&gt;=Assumptions!$B$3,G31,J31)</f>
        <v/>
      </c>
      <c r="L31" s="4">
        <f>K31-D31</f>
        <v/>
      </c>
      <c r="M31">
        <f>IF(C31&gt;=Assumptions!$B$3,"Completion factor","PMPM / B-F")</f>
        <v/>
      </c>
    </row>
    <row r="32">
      <c r="A32" s="6" t="inlineStr">
        <is>
          <t>2025-07</t>
        </is>
      </c>
      <c r="B32" s="14" t="n">
        <v>208290</v>
      </c>
      <c r="C32" t="n">
        <v>14</v>
      </c>
      <c r="D32" s="4">
        <f>'Prof Triangle'!P32</f>
        <v/>
      </c>
      <c r="E32" s="4">
        <f>'Prof Triangle'!O32+(D32-'Prof Triangle'!O32)/Assumptions!$B$8</f>
        <v/>
      </c>
      <c r="F32" s="13">
        <f>INDEX('Prof Factors'!$E:$E,C32+2)</f>
        <v/>
      </c>
      <c r="G32" s="4">
        <f>E32/F32</f>
        <v/>
      </c>
      <c r="H32" s="15" t="n">
        <v>184.267683</v>
      </c>
      <c r="I32" s="4">
        <f>H32*B32</f>
        <v/>
      </c>
      <c r="J32" s="4">
        <f>E32+(1-F32)*I32</f>
        <v/>
      </c>
      <c r="K32" s="4">
        <f>IF(C32&gt;=Assumptions!$B$3,G32,J32)</f>
        <v/>
      </c>
      <c r="L32" s="4">
        <f>K32-D32</f>
        <v/>
      </c>
      <c r="M32">
        <f>IF(C32&gt;=Assumptions!$B$3,"Completion factor","PMPM / B-F")</f>
        <v/>
      </c>
    </row>
    <row r="33">
      <c r="A33" s="6" t="inlineStr">
        <is>
          <t>2025-08</t>
        </is>
      </c>
      <c r="B33" s="14" t="n">
        <v>209114</v>
      </c>
      <c r="C33" t="n">
        <v>13</v>
      </c>
      <c r="D33" s="4">
        <f>'Prof Triangle'!O33</f>
        <v/>
      </c>
      <c r="E33" s="4">
        <f>'Prof Triangle'!N33+(D33-'Prof Triangle'!N33)/Assumptions!$B$8</f>
        <v/>
      </c>
      <c r="F33" s="13">
        <f>INDEX('Prof Factors'!$E:$E,C33+2)</f>
        <v/>
      </c>
      <c r="G33" s="4">
        <f>E33/F33</f>
        <v/>
      </c>
      <c r="H33" s="15" t="n">
        <v>194.280557</v>
      </c>
      <c r="I33" s="4">
        <f>H33*B33</f>
        <v/>
      </c>
      <c r="J33" s="4">
        <f>E33+(1-F33)*I33</f>
        <v/>
      </c>
      <c r="K33" s="4">
        <f>IF(C33&gt;=Assumptions!$B$3,G33,J33)</f>
        <v/>
      </c>
      <c r="L33" s="4">
        <f>K33-D33</f>
        <v/>
      </c>
      <c r="M33">
        <f>IF(C33&gt;=Assumptions!$B$3,"Completion factor","PMPM / B-F")</f>
        <v/>
      </c>
    </row>
    <row r="34">
      <c r="A34" s="6" t="inlineStr">
        <is>
          <t>2025-09</t>
        </is>
      </c>
      <c r="B34" s="14" t="n">
        <v>209604</v>
      </c>
      <c r="C34" t="n">
        <v>12</v>
      </c>
      <c r="D34" s="4">
        <f>'Prof Triangle'!N34</f>
        <v/>
      </c>
      <c r="E34" s="4">
        <f>'Prof Triangle'!M34+(D34-'Prof Triangle'!M34)/Assumptions!$B$8</f>
        <v/>
      </c>
      <c r="F34" s="13">
        <f>INDEX('Prof Factors'!$E:$E,C34+2)</f>
        <v/>
      </c>
      <c r="G34" s="4">
        <f>E34/F34</f>
        <v/>
      </c>
      <c r="H34" s="15" t="n">
        <v>189.679508</v>
      </c>
      <c r="I34" s="4">
        <f>H34*B34</f>
        <v/>
      </c>
      <c r="J34" s="4">
        <f>E34+(1-F34)*I34</f>
        <v/>
      </c>
      <c r="K34" s="4">
        <f>IF(C34&gt;=Assumptions!$B$3,G34,J34)</f>
        <v/>
      </c>
      <c r="L34" s="4">
        <f>K34-D34</f>
        <v/>
      </c>
      <c r="M34">
        <f>IF(C34&gt;=Assumptions!$B$3,"Completion factor","PMPM / B-F")</f>
        <v/>
      </c>
    </row>
    <row r="35">
      <c r="A35" s="6" t="inlineStr">
        <is>
          <t>2025-10</t>
        </is>
      </c>
      <c r="B35" s="14" t="n">
        <v>210074</v>
      </c>
      <c r="C35" t="n">
        <v>11</v>
      </c>
      <c r="D35" s="4">
        <f>'Prof Triangle'!M35</f>
        <v/>
      </c>
      <c r="E35" s="4">
        <f>'Prof Triangle'!L35+(D35-'Prof Triangle'!L35)/Assumptions!$B$8</f>
        <v/>
      </c>
      <c r="F35" s="13">
        <f>INDEX('Prof Factors'!$E:$E,C35+2)</f>
        <v/>
      </c>
      <c r="G35" s="4">
        <f>E35/F35</f>
        <v/>
      </c>
      <c r="H35" s="15" t="n">
        <v>202.468763</v>
      </c>
      <c r="I35" s="4">
        <f>H35*B35</f>
        <v/>
      </c>
      <c r="J35" s="4">
        <f>E35+(1-F35)*I35</f>
        <v/>
      </c>
      <c r="K35" s="4">
        <f>IF(C35&gt;=Assumptions!$B$3,G35,J35)</f>
        <v/>
      </c>
      <c r="L35" s="4">
        <f>K35-D35</f>
        <v/>
      </c>
      <c r="M35">
        <f>IF(C35&gt;=Assumptions!$B$3,"Completion factor","PMPM / B-F")</f>
        <v/>
      </c>
    </row>
    <row r="36">
      <c r="A36" s="6" t="inlineStr">
        <is>
          <t>2025-11</t>
        </is>
      </c>
      <c r="B36" s="14" t="n">
        <v>210375</v>
      </c>
      <c r="C36" t="n">
        <v>10</v>
      </c>
      <c r="D36" s="4">
        <f>'Prof Triangle'!L36</f>
        <v/>
      </c>
      <c r="E36" s="4">
        <f>'Prof Triangle'!K36+(D36-'Prof Triangle'!K36)/Assumptions!$B$8</f>
        <v/>
      </c>
      <c r="F36" s="13">
        <f>INDEX('Prof Factors'!$E:$E,C36+2)</f>
        <v/>
      </c>
      <c r="G36" s="4">
        <f>E36/F36</f>
        <v/>
      </c>
      <c r="H36" s="15" t="n">
        <v>195.517301</v>
      </c>
      <c r="I36" s="4">
        <f>H36*B36</f>
        <v/>
      </c>
      <c r="J36" s="4">
        <f>E36+(1-F36)*I36</f>
        <v/>
      </c>
      <c r="K36" s="4">
        <f>IF(C36&gt;=Assumptions!$B$3,G36,J36)</f>
        <v/>
      </c>
      <c r="L36" s="4">
        <f>K36-D36</f>
        <v/>
      </c>
      <c r="M36">
        <f>IF(C36&gt;=Assumptions!$B$3,"Completion factor","PMPM / B-F")</f>
        <v/>
      </c>
    </row>
    <row r="37">
      <c r="A37" s="6" t="inlineStr">
        <is>
          <t>2025-12</t>
        </is>
      </c>
      <c r="B37" s="14" t="n">
        <v>211296</v>
      </c>
      <c r="C37" t="n">
        <v>9</v>
      </c>
      <c r="D37" s="4">
        <f>'Prof Triangle'!K37</f>
        <v/>
      </c>
      <c r="E37" s="4">
        <f>'Prof Triangle'!J37+(D37-'Prof Triangle'!J37)/Assumptions!$B$8</f>
        <v/>
      </c>
      <c r="F37" s="13">
        <f>INDEX('Prof Factors'!$E:$E,C37+2)</f>
        <v/>
      </c>
      <c r="G37" s="4">
        <f>E37/F37</f>
        <v/>
      </c>
      <c r="H37" s="15" t="n">
        <v>211.280296</v>
      </c>
      <c r="I37" s="4">
        <f>H37*B37</f>
        <v/>
      </c>
      <c r="J37" s="4">
        <f>E37+(1-F37)*I37</f>
        <v/>
      </c>
      <c r="K37" s="4">
        <f>IF(C37&gt;=Assumptions!$B$3,G37,J37)</f>
        <v/>
      </c>
      <c r="L37" s="4">
        <f>K37-D37</f>
        <v/>
      </c>
      <c r="M37">
        <f>IF(C37&gt;=Assumptions!$B$3,"Completion factor","PMPM / B-F")</f>
        <v/>
      </c>
    </row>
    <row r="38">
      <c r="A38" s="6" t="inlineStr">
        <is>
          <t>2026-01</t>
        </is>
      </c>
      <c r="B38" s="14" t="n">
        <v>218809</v>
      </c>
      <c r="C38" t="n">
        <v>8</v>
      </c>
      <c r="D38" s="4">
        <f>'Prof Triangle'!J38</f>
        <v/>
      </c>
      <c r="E38" s="4">
        <f>'Prof Triangle'!I38+(D38-'Prof Triangle'!I38)/Assumptions!$B$8</f>
        <v/>
      </c>
      <c r="F38" s="13">
        <f>INDEX('Prof Factors'!$E:$E,C38+2)</f>
        <v/>
      </c>
      <c r="G38" s="4">
        <f>E38/F38</f>
        <v/>
      </c>
      <c r="H38" s="15" t="n">
        <v>188.756326</v>
      </c>
      <c r="I38" s="4">
        <f>H38*B38</f>
        <v/>
      </c>
      <c r="J38" s="4">
        <f>E38+(1-F38)*I38</f>
        <v/>
      </c>
      <c r="K38" s="4">
        <f>IF(C38&gt;=Assumptions!$B$3,G38,J38)</f>
        <v/>
      </c>
      <c r="L38" s="4">
        <f>K38-D38</f>
        <v/>
      </c>
      <c r="M38">
        <f>IF(C38&gt;=Assumptions!$B$3,"Completion factor","PMPM / B-F")</f>
        <v/>
      </c>
    </row>
    <row r="39">
      <c r="A39" s="6" t="inlineStr">
        <is>
          <t>2026-02</t>
        </is>
      </c>
      <c r="B39" s="14" t="n">
        <v>219372</v>
      </c>
      <c r="C39" t="n">
        <v>7</v>
      </c>
      <c r="D39" s="4">
        <f>'Prof Triangle'!I39</f>
        <v/>
      </c>
      <c r="E39" s="4">
        <f>'Prof Triangle'!H39+(D39-'Prof Triangle'!H39)/Assumptions!$B$8</f>
        <v/>
      </c>
      <c r="F39" s="13">
        <f>INDEX('Prof Factors'!$E:$E,C39+2)</f>
        <v/>
      </c>
      <c r="G39" s="4">
        <f>E39/F39</f>
        <v/>
      </c>
      <c r="H39" s="15" t="n">
        <v>188.961011</v>
      </c>
      <c r="I39" s="4">
        <f>H39*B39</f>
        <v/>
      </c>
      <c r="J39" s="4">
        <f>E39+(1-F39)*I39</f>
        <v/>
      </c>
      <c r="K39" s="4">
        <f>IF(C39&gt;=Assumptions!$B$3,G39,J39)</f>
        <v/>
      </c>
      <c r="L39" s="4">
        <f>K39-D39</f>
        <v/>
      </c>
      <c r="M39">
        <f>IF(C39&gt;=Assumptions!$B$3,"Completion factor","PMPM / B-F")</f>
        <v/>
      </c>
    </row>
    <row r="40">
      <c r="A40" s="6" t="inlineStr">
        <is>
          <t>2026-03</t>
        </is>
      </c>
      <c r="B40" s="14" t="n">
        <v>219455</v>
      </c>
      <c r="C40" t="n">
        <v>6</v>
      </c>
      <c r="D40" s="4">
        <f>'Prof Triangle'!H40</f>
        <v/>
      </c>
      <c r="E40" s="4">
        <f>'Prof Triangle'!G40+(D40-'Prof Triangle'!G40)/Assumptions!$B$8</f>
        <v/>
      </c>
      <c r="F40" s="13">
        <f>INDEX('Prof Factors'!$E:$E,C40+2)</f>
        <v/>
      </c>
      <c r="G40" s="4">
        <f>E40/F40</f>
        <v/>
      </c>
      <c r="H40" s="15" t="n">
        <v>204.194437</v>
      </c>
      <c r="I40" s="4">
        <f>H40*B40</f>
        <v/>
      </c>
      <c r="J40" s="4">
        <f>E40+(1-F40)*I40</f>
        <v/>
      </c>
      <c r="K40" s="4">
        <f>IF(C40&gt;=Assumptions!$B$3,G40,J40)</f>
        <v/>
      </c>
      <c r="L40" s="4">
        <f>K40-D40</f>
        <v/>
      </c>
      <c r="M40">
        <f>IF(C40&gt;=Assumptions!$B$3,"Completion factor","PMPM / B-F")</f>
        <v/>
      </c>
    </row>
    <row r="41">
      <c r="A41" s="6" t="inlineStr">
        <is>
          <t>2026-04</t>
        </is>
      </c>
      <c r="B41" s="14" t="n">
        <v>219206</v>
      </c>
      <c r="C41" t="n">
        <v>5</v>
      </c>
      <c r="D41" s="4">
        <f>'Prof Triangle'!G41</f>
        <v/>
      </c>
      <c r="E41" s="4">
        <f>'Prof Triangle'!F41+(D41-'Prof Triangle'!F41)/Assumptions!$B$8</f>
        <v/>
      </c>
      <c r="F41" s="13">
        <f>INDEX('Prof Factors'!$E:$E,C41+2)</f>
        <v/>
      </c>
      <c r="G41" s="4">
        <f>E41/F41</f>
        <v/>
      </c>
      <c r="H41" s="15" t="n">
        <v>201.533182</v>
      </c>
      <c r="I41" s="4">
        <f>H41*B41</f>
        <v/>
      </c>
      <c r="J41" s="4">
        <f>E41+(1-F41)*I41</f>
        <v/>
      </c>
      <c r="K41" s="4">
        <f>IF(C41&gt;=Assumptions!$B$3,G41,J41)</f>
        <v/>
      </c>
      <c r="L41" s="4">
        <f>K41-D41</f>
        <v/>
      </c>
      <c r="M41">
        <f>IF(C41&gt;=Assumptions!$B$3,"Completion factor","PMPM / B-F")</f>
        <v/>
      </c>
    </row>
    <row r="42">
      <c r="A42" s="6" t="inlineStr">
        <is>
          <t>2026-05</t>
        </is>
      </c>
      <c r="B42" s="14" t="n">
        <v>219383</v>
      </c>
      <c r="C42" t="n">
        <v>4</v>
      </c>
      <c r="D42" s="4">
        <f>'Prof Triangle'!F42</f>
        <v/>
      </c>
      <c r="E42" s="4">
        <f>'Prof Triangle'!E42+(D42-'Prof Triangle'!E42)/Assumptions!$B$8</f>
        <v/>
      </c>
      <c r="F42" s="13">
        <f>INDEX('Prof Factors'!$E:$E,C42+2)</f>
        <v/>
      </c>
      <c r="G42" s="4">
        <f>E42/F42</f>
        <v/>
      </c>
      <c r="H42" s="15" t="n">
        <v>202.202928</v>
      </c>
      <c r="I42" s="4">
        <f>H42*B42</f>
        <v/>
      </c>
      <c r="J42" s="4">
        <f>E42+(1-F42)*I42</f>
        <v/>
      </c>
      <c r="K42" s="4">
        <f>IF(C42&gt;=Assumptions!$B$3,G42,J42)</f>
        <v/>
      </c>
      <c r="L42" s="4">
        <f>K42-D42</f>
        <v/>
      </c>
      <c r="M42">
        <f>IF(C42&gt;=Assumptions!$B$3,"Completion factor","PMPM / B-F")</f>
        <v/>
      </c>
    </row>
    <row r="43">
      <c r="A43" s="6" t="inlineStr">
        <is>
          <t>2026-06</t>
        </is>
      </c>
      <c r="B43" s="14" t="n">
        <v>219891</v>
      </c>
      <c r="C43" t="n">
        <v>3</v>
      </c>
      <c r="D43" s="4">
        <f>'Prof Triangle'!E43</f>
        <v/>
      </c>
      <c r="E43" s="4">
        <f>'Prof Triangle'!D43+(D43-'Prof Triangle'!D43)/Assumptions!$B$8</f>
        <v/>
      </c>
      <c r="F43" s="13">
        <f>INDEX('Prof Factors'!$E:$E,C43+2)</f>
        <v/>
      </c>
      <c r="G43" s="4">
        <f>E43/F43</f>
        <v/>
      </c>
      <c r="H43" s="15" t="n">
        <v>195.465789</v>
      </c>
      <c r="I43" s="4">
        <f>H43*B43</f>
        <v/>
      </c>
      <c r="J43" s="4">
        <f>E43+(1-F43)*I43</f>
        <v/>
      </c>
      <c r="K43" s="4">
        <f>IF(C43&gt;=Assumptions!$B$3,G43,J43)</f>
        <v/>
      </c>
      <c r="L43" s="4">
        <f>K43-D43</f>
        <v/>
      </c>
      <c r="M43">
        <f>IF(C43&gt;=Assumptions!$B$3,"Completion factor","PMPM / B-F")</f>
        <v/>
      </c>
    </row>
    <row r="44">
      <c r="A44" s="6" t="inlineStr">
        <is>
          <t>2026-07</t>
        </is>
      </c>
      <c r="B44" s="14" t="n">
        <v>220771</v>
      </c>
      <c r="C44" t="n">
        <v>2</v>
      </c>
      <c r="D44" s="4">
        <f>'Prof Triangle'!D44</f>
        <v/>
      </c>
      <c r="E44" s="4">
        <f>'Prof Triangle'!C44+(D44-'Prof Triangle'!C44)/Assumptions!$B$8</f>
        <v/>
      </c>
      <c r="F44" s="13">
        <f>INDEX('Prof Factors'!$E:$E,C44+2)</f>
        <v/>
      </c>
      <c r="G44" s="4">
        <f>E44/F44</f>
        <v/>
      </c>
      <c r="H44" s="15" t="n">
        <v>193.214314</v>
      </c>
      <c r="I44" s="4">
        <f>H44*B44</f>
        <v/>
      </c>
      <c r="J44" s="4">
        <f>E44+(1-F44)*I44</f>
        <v/>
      </c>
      <c r="K44" s="4">
        <f>IF(C44&gt;=Assumptions!$B$3,G44,J44)</f>
        <v/>
      </c>
      <c r="L44" s="4">
        <f>K44-D44</f>
        <v/>
      </c>
      <c r="M44">
        <f>IF(C44&gt;=Assumptions!$B$3,"Completion factor","PMPM / B-F")</f>
        <v/>
      </c>
    </row>
    <row r="45">
      <c r="A45" s="6" t="inlineStr">
        <is>
          <t>2026-08</t>
        </is>
      </c>
      <c r="B45" s="14" t="n">
        <v>221871</v>
      </c>
      <c r="C45" t="n">
        <v>1</v>
      </c>
      <c r="D45" s="4">
        <f>'Prof Triangle'!C45</f>
        <v/>
      </c>
      <c r="E45" s="4">
        <f>'Prof Triangle'!B45+(D45-'Prof Triangle'!B45)/Assumptions!$B$8</f>
        <v/>
      </c>
      <c r="F45" s="13">
        <f>INDEX('Prof Factors'!$E:$E,C45+2)</f>
        <v/>
      </c>
      <c r="G45" s="4">
        <f>E45/F45</f>
        <v/>
      </c>
      <c r="H45" s="15" t="n">
        <v>203.713337</v>
      </c>
      <c r="I45" s="4">
        <f>H45*B45</f>
        <v/>
      </c>
      <c r="J45" s="4">
        <f>E45+(1-F45)*I45</f>
        <v/>
      </c>
      <c r="K45" s="4">
        <f>IF(C45&gt;=Assumptions!$B$3,G45,J45)</f>
        <v/>
      </c>
      <c r="L45" s="4">
        <f>K45-D45</f>
        <v/>
      </c>
      <c r="M45">
        <f>IF(C45&gt;=Assumptions!$B$3,"Completion factor","PMPM / B-F")</f>
        <v/>
      </c>
    </row>
    <row r="46">
      <c r="A46" s="6" t="inlineStr">
        <is>
          <t>2026-09</t>
        </is>
      </c>
      <c r="B46" s="14" t="n">
        <v>222253</v>
      </c>
      <c r="C46" t="n">
        <v>0</v>
      </c>
      <c r="D46" s="4">
        <f>'Prof Triangle'!B46</f>
        <v/>
      </c>
      <c r="E46" s="4">
        <f>0+(D46-0)/Assumptions!$B$8</f>
        <v/>
      </c>
      <c r="F46" s="13">
        <f>INDEX('Prof Factors'!$E:$E,C46+2)</f>
        <v/>
      </c>
      <c r="G46" s="4">
        <f>E46/F46</f>
        <v/>
      </c>
      <c r="H46" s="15" t="n">
        <v>198.888896</v>
      </c>
      <c r="I46" s="4">
        <f>H46*B46</f>
        <v/>
      </c>
      <c r="J46" s="4">
        <f>E46+(1-F46)*I46</f>
        <v/>
      </c>
      <c r="K46" s="4">
        <f>IF(C46&gt;=Assumptions!$B$3,G46,J46)</f>
        <v/>
      </c>
      <c r="L46" s="4">
        <f>K46-D46</f>
        <v/>
      </c>
      <c r="M46">
        <f>IF(C46&gt;=Assumptions!$B$3,"Completion factor","PMPM / B-F")</f>
        <v/>
      </c>
    </row>
    <row r="47">
      <c r="A47" s="6" t="inlineStr">
        <is>
          <t>Total</t>
        </is>
      </c>
      <c r="B47" s="7">
        <f>SUM(B2:B46)</f>
        <v/>
      </c>
      <c r="D47" s="7">
        <f>SUM(D2:D46)</f>
        <v/>
      </c>
      <c r="G47" s="7">
        <f>SUM(G2:G46)</f>
        <v/>
      </c>
      <c r="I47" s="7">
        <f>SUM(I2:I46)</f>
        <v/>
      </c>
      <c r="K47" s="7">
        <f>SUM(K2:K46)</f>
        <v/>
      </c>
      <c r="L47" s="7">
        <f>SUM(L2:L46)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>
      <c r="A1" s="3" t="inlineStr">
        <is>
          <t>Incurred</t>
        </is>
      </c>
      <c r="B1" s="3" t="inlineStr">
        <is>
          <t>Lag 0</t>
        </is>
      </c>
      <c r="C1" s="3" t="inlineStr">
        <is>
          <t>Lag 1</t>
        </is>
      </c>
      <c r="D1" s="3" t="inlineStr">
        <is>
          <t>Lag 2</t>
        </is>
      </c>
      <c r="E1" s="3" t="inlineStr">
        <is>
          <t>Lag 3</t>
        </is>
      </c>
      <c r="F1" s="3" t="inlineStr">
        <is>
          <t>Lag 4</t>
        </is>
      </c>
      <c r="G1" s="3" t="inlineStr">
        <is>
          <t>Lag 5</t>
        </is>
      </c>
      <c r="H1" s="3" t="inlineStr">
        <is>
          <t>Lag 6</t>
        </is>
      </c>
      <c r="I1" s="3" t="inlineStr">
        <is>
          <t>Lag 7</t>
        </is>
      </c>
      <c r="J1" s="3" t="inlineStr">
        <is>
          <t>Lag 8</t>
        </is>
      </c>
      <c r="K1" s="3" t="inlineStr">
        <is>
          <t>Lag 9</t>
        </is>
      </c>
      <c r="L1" s="3" t="inlineStr">
        <is>
          <t>Lag 10</t>
        </is>
      </c>
      <c r="M1" s="3" t="inlineStr">
        <is>
          <t>Lag 11</t>
        </is>
      </c>
      <c r="N1" s="3" t="inlineStr">
        <is>
          <t>Lag 12</t>
        </is>
      </c>
      <c r="O1" s="3" t="inlineStr">
        <is>
          <t>Lag 13</t>
        </is>
      </c>
      <c r="P1" s="3" t="inlineStr">
        <is>
          <t>Lag 14</t>
        </is>
      </c>
      <c r="Q1" s="3" t="inlineStr">
        <is>
          <t>Lag 15</t>
        </is>
      </c>
      <c r="R1" s="3" t="inlineStr">
        <is>
          <t>Lag 16</t>
        </is>
      </c>
      <c r="S1" s="3" t="inlineStr">
        <is>
          <t>Lag 17</t>
        </is>
      </c>
      <c r="T1" s="3" t="inlineStr">
        <is>
          <t>Lag 18</t>
        </is>
      </c>
      <c r="U1" s="3" t="inlineStr">
        <is>
          <t>Lag 19</t>
        </is>
      </c>
      <c r="V1" s="3" t="inlineStr">
        <is>
          <t>Lag 20</t>
        </is>
      </c>
      <c r="W1" s="3" t="inlineStr">
        <is>
          <t>Lag 21</t>
        </is>
      </c>
      <c r="X1" s="3" t="inlineStr">
        <is>
          <t>Lag 22</t>
        </is>
      </c>
      <c r="Y1" s="3" t="inlineStr">
        <is>
          <t>Lag 23</t>
        </is>
      </c>
      <c r="Z1" s="3" t="inlineStr">
        <is>
          <t>Lag 24</t>
        </is>
      </c>
      <c r="AA1" s="3" t="inlineStr">
        <is>
          <t>Lag 25</t>
        </is>
      </c>
      <c r="AB1" s="3" t="inlineStr">
        <is>
          <t>Lag 26</t>
        </is>
      </c>
      <c r="AC1" s="3" t="inlineStr">
        <is>
          <t>Lag 27</t>
        </is>
      </c>
      <c r="AD1" s="3" t="inlineStr">
        <is>
          <t>Lag 28</t>
        </is>
      </c>
      <c r="AE1" s="3" t="inlineStr">
        <is>
          <t>Lag 29</t>
        </is>
      </c>
      <c r="AF1" s="3" t="inlineStr">
        <is>
          <t>Lag 30</t>
        </is>
      </c>
      <c r="AG1" s="3" t="inlineStr">
        <is>
          <t>Lag 31</t>
        </is>
      </c>
      <c r="AH1" s="3" t="inlineStr">
        <is>
          <t>Lag 32</t>
        </is>
      </c>
      <c r="AI1" s="3" t="inlineStr">
        <is>
          <t>Lag 33</t>
        </is>
      </c>
      <c r="AJ1" s="3" t="inlineStr">
        <is>
          <t>Lag 34</t>
        </is>
      </c>
      <c r="AK1" s="3" t="inlineStr">
        <is>
          <t>Lag 35</t>
        </is>
      </c>
      <c r="AL1" s="3" t="inlineStr">
        <is>
          <t>Lag 36</t>
        </is>
      </c>
      <c r="AM1" s="3" t="inlineStr">
        <is>
          <t>Lag 37</t>
        </is>
      </c>
      <c r="AN1" s="3" t="inlineStr">
        <is>
          <t>Lag 38</t>
        </is>
      </c>
      <c r="AO1" s="3" t="inlineStr">
        <is>
          <t>Lag 39</t>
        </is>
      </c>
      <c r="AP1" s="3" t="inlineStr">
        <is>
          <t>Lag 40</t>
        </is>
      </c>
      <c r="AQ1" s="3" t="inlineStr">
        <is>
          <t>Lag 41</t>
        </is>
      </c>
      <c r="AR1" s="3" t="inlineStr">
        <is>
          <t>Lag 42</t>
        </is>
      </c>
      <c r="AS1" s="3" t="inlineStr">
        <is>
          <t>Lag 43</t>
        </is>
      </c>
      <c r="AT1" s="3" t="inlineStr">
        <is>
          <t>Lag 44</t>
        </is>
      </c>
    </row>
    <row r="2">
      <c r="A2" s="6" t="inlineStr">
        <is>
          <t>2023-01</t>
        </is>
      </c>
      <c r="B2" s="5" t="n">
        <v>632558.29</v>
      </c>
      <c r="C2" s="5" t="n">
        <v>1802326.94</v>
      </c>
      <c r="D2" s="5" t="n">
        <v>2813361.13</v>
      </c>
      <c r="E2" s="5" t="n">
        <v>3686180.38</v>
      </c>
      <c r="F2" s="5" t="n">
        <v>4424345.63</v>
      </c>
      <c r="G2" s="5" t="n">
        <v>4915079.7</v>
      </c>
      <c r="H2" s="5" t="n">
        <v>5261753.99</v>
      </c>
      <c r="I2" s="5" t="n">
        <v>5521609.58</v>
      </c>
      <c r="J2" s="5" t="n">
        <v>5694090.12</v>
      </c>
      <c r="K2" s="5" t="n">
        <v>5829173.83</v>
      </c>
      <c r="L2" s="5" t="n">
        <v>5924805.41</v>
      </c>
      <c r="M2" s="5" t="n">
        <v>6003251.73</v>
      </c>
      <c r="N2" s="5" t="n">
        <v>6057473.64</v>
      </c>
      <c r="O2" s="5" t="n">
        <v>6095229.12</v>
      </c>
      <c r="P2" s="5" t="n">
        <v>6122264.22</v>
      </c>
      <c r="Q2" s="5" t="n">
        <v>6141595.91</v>
      </c>
      <c r="R2" s="5" t="n">
        <v>6157584.12</v>
      </c>
      <c r="S2" s="5" t="n">
        <v>6166521.3</v>
      </c>
      <c r="T2" s="5" t="n">
        <v>6174002.35</v>
      </c>
      <c r="U2" s="5" t="n">
        <v>6178884.74</v>
      </c>
      <c r="V2" s="5" t="n">
        <v>6182484.25</v>
      </c>
      <c r="W2" s="5" t="n">
        <v>6185148.02</v>
      </c>
      <c r="X2" s="5" t="n">
        <v>6187110.86</v>
      </c>
      <c r="Y2" s="5" t="n">
        <v>6188417.35</v>
      </c>
      <c r="Z2" s="5" t="n">
        <v>6189427.77</v>
      </c>
      <c r="AA2" s="5" t="n">
        <v>6190090.64</v>
      </c>
      <c r="AB2" s="5" t="n">
        <v>6190580.43</v>
      </c>
      <c r="AC2" s="5" t="n">
        <v>6190909.98</v>
      </c>
      <c r="AD2" s="5" t="n">
        <v>6191156.81</v>
      </c>
      <c r="AE2" s="5" t="n">
        <v>6191344.17</v>
      </c>
      <c r="AF2" s="5" t="n">
        <v>6191453.93</v>
      </c>
      <c r="AG2" s="5" t="n">
        <v>6191537.84</v>
      </c>
      <c r="AH2" s="5" t="n">
        <v>6191601.89</v>
      </c>
      <c r="AI2" s="5" t="n">
        <v>6191648.38</v>
      </c>
      <c r="AJ2" s="5" t="n">
        <v>6191675.22</v>
      </c>
      <c r="AK2" s="5" t="n">
        <v>6191697.82</v>
      </c>
      <c r="AL2" s="5" t="n">
        <v>6191712.27</v>
      </c>
      <c r="AM2" s="5" t="n">
        <v>6191712.27</v>
      </c>
      <c r="AN2" s="5" t="n">
        <v>6191712.27</v>
      </c>
      <c r="AO2" s="5" t="n">
        <v>6191712.27</v>
      </c>
      <c r="AP2" s="5" t="n">
        <v>6191712.27</v>
      </c>
      <c r="AQ2" s="5" t="n">
        <v>6191712.27</v>
      </c>
      <c r="AR2" s="5" t="n">
        <v>6191712.27</v>
      </c>
      <c r="AS2" s="5" t="n">
        <v>6191712.27</v>
      </c>
      <c r="AT2" s="5" t="n">
        <v>6191712.27</v>
      </c>
    </row>
    <row r="3">
      <c r="A3" s="6" t="inlineStr">
        <is>
          <t>2023-02</t>
        </is>
      </c>
      <c r="B3" s="5" t="n">
        <v>474746.92</v>
      </c>
      <c r="C3" s="5" t="n">
        <v>1392897.71</v>
      </c>
      <c r="D3" s="5" t="n">
        <v>2117246.35</v>
      </c>
      <c r="E3" s="5" t="n">
        <v>2677407.92</v>
      </c>
      <c r="F3" s="5" t="n">
        <v>3149253.15</v>
      </c>
      <c r="G3" s="5" t="n">
        <v>3525080.48</v>
      </c>
      <c r="H3" s="5" t="n">
        <v>3733655.29</v>
      </c>
      <c r="I3" s="5" t="n">
        <v>3917682.48</v>
      </c>
      <c r="J3" s="5" t="n">
        <v>4053697.95</v>
      </c>
      <c r="K3" s="5" t="n">
        <v>4145494.24</v>
      </c>
      <c r="L3" s="5" t="n">
        <v>4209777.97</v>
      </c>
      <c r="M3" s="5" t="n">
        <v>4259916.89</v>
      </c>
      <c r="N3" s="5" t="n">
        <v>4298687.43</v>
      </c>
      <c r="O3" s="5" t="n">
        <v>4323567.17</v>
      </c>
      <c r="P3" s="5" t="n">
        <v>4344984.96</v>
      </c>
      <c r="Q3" s="5" t="n">
        <v>4359193.87</v>
      </c>
      <c r="R3" s="5" t="n">
        <v>4369441.33</v>
      </c>
      <c r="S3" s="5" t="n">
        <v>4375856.19</v>
      </c>
      <c r="T3" s="5" t="n">
        <v>4380453.41</v>
      </c>
      <c r="U3" s="5" t="n">
        <v>4384149.4</v>
      </c>
      <c r="V3" s="5" t="n">
        <v>4386551.14</v>
      </c>
      <c r="W3" s="5" t="n">
        <v>4388203.37</v>
      </c>
      <c r="X3" s="5" t="n">
        <v>4389530.9</v>
      </c>
      <c r="Y3" s="5" t="n">
        <v>4390522.75</v>
      </c>
      <c r="Z3" s="5" t="n">
        <v>4391178.96</v>
      </c>
      <c r="AA3" s="5" t="n">
        <v>4391680.87</v>
      </c>
      <c r="AB3" s="5" t="n">
        <v>4392034.75</v>
      </c>
      <c r="AC3" s="5" t="n">
        <v>4392255.22</v>
      </c>
      <c r="AD3" s="5" t="n">
        <v>4392421.98</v>
      </c>
      <c r="AE3" s="5" t="n">
        <v>4392537.69</v>
      </c>
      <c r="AF3" s="5" t="n">
        <v>4392626.76</v>
      </c>
      <c r="AG3" s="5" t="n">
        <v>4392684.91</v>
      </c>
      <c r="AH3" s="5" t="n">
        <v>4392730.7</v>
      </c>
      <c r="AI3" s="5" t="n">
        <v>4392760.28</v>
      </c>
      <c r="AJ3" s="5" t="n">
        <v>4392780.72</v>
      </c>
      <c r="AK3" s="5" t="n">
        <v>4392795</v>
      </c>
      <c r="AL3" s="5" t="n">
        <v>4392804.36</v>
      </c>
      <c r="AM3" s="5" t="n">
        <v>4392804.36</v>
      </c>
      <c r="AN3" s="5" t="n">
        <v>4392804.36</v>
      </c>
      <c r="AO3" s="5" t="n">
        <v>4392804.36</v>
      </c>
      <c r="AP3" s="5" t="n">
        <v>4392804.36</v>
      </c>
      <c r="AQ3" s="5" t="n">
        <v>4392804.36</v>
      </c>
      <c r="AR3" s="5" t="n">
        <v>4392804.36</v>
      </c>
      <c r="AS3" s="5" t="n">
        <v>4392804.36</v>
      </c>
    </row>
    <row r="4">
      <c r="A4" s="6" t="inlineStr">
        <is>
          <t>2023-03</t>
        </is>
      </c>
      <c r="B4" s="5" t="n">
        <v>938995.51</v>
      </c>
      <c r="C4" s="5" t="n">
        <v>2826252.66</v>
      </c>
      <c r="D4" s="5" t="n">
        <v>4237980.41</v>
      </c>
      <c r="E4" s="5" t="n">
        <v>5430157.43</v>
      </c>
      <c r="F4" s="5" t="n">
        <v>6299645.96</v>
      </c>
      <c r="G4" s="5" t="n">
        <v>6981908.36</v>
      </c>
      <c r="H4" s="5" t="n">
        <v>7441517</v>
      </c>
      <c r="I4" s="5" t="n">
        <v>7796973.74</v>
      </c>
      <c r="J4" s="5" t="n">
        <v>8071127.14</v>
      </c>
      <c r="K4" s="5" t="n">
        <v>8253979.02</v>
      </c>
      <c r="L4" s="5" t="n">
        <v>8379905.51</v>
      </c>
      <c r="M4" s="5" t="n">
        <v>8472566.720000001</v>
      </c>
      <c r="N4" s="5" t="n">
        <v>8541610.99</v>
      </c>
      <c r="O4" s="5" t="n">
        <v>8595846.460000001</v>
      </c>
      <c r="P4" s="5" t="n">
        <v>8634996.76</v>
      </c>
      <c r="Q4" s="5" t="n">
        <v>8655900.439999999</v>
      </c>
      <c r="R4" s="5" t="n">
        <v>8674950.33</v>
      </c>
      <c r="S4" s="5" t="n">
        <v>8687256.050000001</v>
      </c>
      <c r="T4" s="5" t="n">
        <v>8696270.039999999</v>
      </c>
      <c r="U4" s="5" t="n">
        <v>8703917.84</v>
      </c>
      <c r="V4" s="5" t="n">
        <v>8708806.449999999</v>
      </c>
      <c r="W4" s="5" t="n">
        <v>8712481.82</v>
      </c>
      <c r="X4" s="5" t="n">
        <v>8714830.42</v>
      </c>
      <c r="Y4" s="5" t="n">
        <v>8716478.630000001</v>
      </c>
      <c r="Z4" s="5" t="n">
        <v>8717708.58</v>
      </c>
      <c r="AA4" s="5" t="n">
        <v>8718577.34</v>
      </c>
      <c r="AB4" s="5" t="n">
        <v>8719167.220000001</v>
      </c>
      <c r="AC4" s="5" t="n">
        <v>8719575.9</v>
      </c>
      <c r="AD4" s="5" t="n">
        <v>8719901.539999999</v>
      </c>
      <c r="AE4" s="5" t="n">
        <v>8720129.52</v>
      </c>
      <c r="AF4" s="5" t="n">
        <v>8720281.550000001</v>
      </c>
      <c r="AG4" s="5" t="n">
        <v>8720406.310000001</v>
      </c>
      <c r="AH4" s="5" t="n">
        <v>8720489.32</v>
      </c>
      <c r="AI4" s="5" t="n">
        <v>8720543.779999999</v>
      </c>
      <c r="AJ4" s="5" t="n">
        <v>8720579.890000001</v>
      </c>
      <c r="AK4" s="5" t="n">
        <v>8720606.77</v>
      </c>
      <c r="AL4" s="5" t="n">
        <v>8720628.67</v>
      </c>
      <c r="AM4" s="5" t="n">
        <v>8720628.67</v>
      </c>
      <c r="AN4" s="5" t="n">
        <v>8720628.67</v>
      </c>
      <c r="AO4" s="5" t="n">
        <v>8720628.67</v>
      </c>
      <c r="AP4" s="5" t="n">
        <v>8720628.67</v>
      </c>
      <c r="AQ4" s="5" t="n">
        <v>8720628.67</v>
      </c>
      <c r="AR4" s="5" t="n">
        <v>8720628.67</v>
      </c>
    </row>
    <row r="5">
      <c r="A5" s="6" t="inlineStr">
        <is>
          <t>2023-04</t>
        </is>
      </c>
      <c r="B5" s="5" t="n">
        <v>784726.96</v>
      </c>
      <c r="C5" s="5" t="n">
        <v>2540417.65</v>
      </c>
      <c r="D5" s="5" t="n">
        <v>3905798.99</v>
      </c>
      <c r="E5" s="5" t="n">
        <v>5034542.08</v>
      </c>
      <c r="F5" s="5" t="n">
        <v>5964700.23</v>
      </c>
      <c r="G5" s="5" t="n">
        <v>6643802.91</v>
      </c>
      <c r="H5" s="5" t="n">
        <v>7103287.72</v>
      </c>
      <c r="I5" s="5" t="n">
        <v>7432868.11</v>
      </c>
      <c r="J5" s="5" t="n">
        <v>7705779.21</v>
      </c>
      <c r="K5" s="5" t="n">
        <v>7884449.67</v>
      </c>
      <c r="L5" s="5" t="n">
        <v>8007850.98</v>
      </c>
      <c r="M5" s="5" t="n">
        <v>8101004.76</v>
      </c>
      <c r="N5" s="5" t="n">
        <v>8172947.66</v>
      </c>
      <c r="O5" s="5" t="n">
        <v>8222051.93</v>
      </c>
      <c r="P5" s="5" t="n">
        <v>8252018.87</v>
      </c>
      <c r="Q5" s="5" t="n">
        <v>8279848.21</v>
      </c>
      <c r="R5" s="5" t="n">
        <v>8297377.89</v>
      </c>
      <c r="S5" s="5" t="n">
        <v>8311085.97</v>
      </c>
      <c r="T5" s="5" t="n">
        <v>8320588.78</v>
      </c>
      <c r="U5" s="5" t="n">
        <v>8327628.1</v>
      </c>
      <c r="V5" s="5" t="n">
        <v>8332606.58</v>
      </c>
      <c r="W5" s="5" t="n">
        <v>8335972.7</v>
      </c>
      <c r="X5" s="5" t="n">
        <v>8338079.32</v>
      </c>
      <c r="Y5" s="5" t="n">
        <v>8339656.68</v>
      </c>
      <c r="Z5" s="5" t="n">
        <v>8340871.21</v>
      </c>
      <c r="AA5" s="5" t="n">
        <v>8341690.26</v>
      </c>
      <c r="AB5" s="5" t="n">
        <v>8342329.33</v>
      </c>
      <c r="AC5" s="5" t="n">
        <v>8342734.12</v>
      </c>
      <c r="AD5" s="5" t="n">
        <v>8343041.05</v>
      </c>
      <c r="AE5" s="5" t="n">
        <v>8343249.19</v>
      </c>
      <c r="AF5" s="5" t="n">
        <v>8343398.68</v>
      </c>
      <c r="AG5" s="5" t="n">
        <v>8343504.95</v>
      </c>
      <c r="AH5" s="5" t="n">
        <v>8343592.88</v>
      </c>
      <c r="AI5" s="5" t="n">
        <v>8343643.98</v>
      </c>
      <c r="AJ5" s="5" t="n">
        <v>8343684.77</v>
      </c>
      <c r="AK5" s="5" t="n">
        <v>8343708.78</v>
      </c>
      <c r="AL5" s="5" t="n">
        <v>8343730.03</v>
      </c>
      <c r="AM5" s="5" t="n">
        <v>8343730.03</v>
      </c>
      <c r="AN5" s="5" t="n">
        <v>8343730.03</v>
      </c>
      <c r="AO5" s="5" t="n">
        <v>8343730.03</v>
      </c>
      <c r="AP5" s="5" t="n">
        <v>8343730.03</v>
      </c>
      <c r="AQ5" s="5" t="n">
        <v>8343730.03</v>
      </c>
    </row>
    <row r="6">
      <c r="A6" s="6" t="inlineStr">
        <is>
          <t>2023-05</t>
        </is>
      </c>
      <c r="B6" s="5" t="n">
        <v>417899.57</v>
      </c>
      <c r="C6" s="5" t="n">
        <v>1213445.02</v>
      </c>
      <c r="D6" s="5" t="n">
        <v>1946722.18</v>
      </c>
      <c r="E6" s="5" t="n">
        <v>2551234.63</v>
      </c>
      <c r="F6" s="5" t="n">
        <v>2957999.5</v>
      </c>
      <c r="G6" s="5" t="n">
        <v>3280707.23</v>
      </c>
      <c r="H6" s="5" t="n">
        <v>3502356.74</v>
      </c>
      <c r="I6" s="5" t="n">
        <v>3662135.91</v>
      </c>
      <c r="J6" s="5" t="n">
        <v>3787923.92</v>
      </c>
      <c r="K6" s="5" t="n">
        <v>3878215.02</v>
      </c>
      <c r="L6" s="5" t="n">
        <v>3944956.02</v>
      </c>
      <c r="M6" s="5" t="n">
        <v>3990475.17</v>
      </c>
      <c r="N6" s="5" t="n">
        <v>4021285.39</v>
      </c>
      <c r="O6" s="5" t="n">
        <v>4045115.45</v>
      </c>
      <c r="P6" s="5" t="n">
        <v>4062772.93</v>
      </c>
      <c r="Q6" s="5" t="n">
        <v>4075885.71</v>
      </c>
      <c r="R6" s="5" t="n">
        <v>4083020.33</v>
      </c>
      <c r="S6" s="5" t="n">
        <v>4088771.38</v>
      </c>
      <c r="T6" s="5" t="n">
        <v>4092578.32</v>
      </c>
      <c r="U6" s="5" t="n">
        <v>4095912.23</v>
      </c>
      <c r="V6" s="5" t="n">
        <v>4098628.39</v>
      </c>
      <c r="W6" s="5" t="n">
        <v>4100206.11</v>
      </c>
      <c r="X6" s="5" t="n">
        <v>4101506.37</v>
      </c>
      <c r="Y6" s="5" t="n">
        <v>4102410.39</v>
      </c>
      <c r="Z6" s="5" t="n">
        <v>4102941.11</v>
      </c>
      <c r="AA6" s="5" t="n">
        <v>4103326.89</v>
      </c>
      <c r="AB6" s="5" t="n">
        <v>4103587.03</v>
      </c>
      <c r="AC6" s="5" t="n">
        <v>4103770.96</v>
      </c>
      <c r="AD6" s="5" t="n">
        <v>4103921.28</v>
      </c>
      <c r="AE6" s="5" t="n">
        <v>4104020.32</v>
      </c>
      <c r="AF6" s="5" t="n">
        <v>4104089.41</v>
      </c>
      <c r="AG6" s="5" t="n">
        <v>4104136.86</v>
      </c>
      <c r="AH6" s="5" t="n">
        <v>4104174.47</v>
      </c>
      <c r="AI6" s="5" t="n">
        <v>4104202.01</v>
      </c>
      <c r="AJ6" s="5" t="n">
        <v>4104221.78</v>
      </c>
      <c r="AK6" s="5" t="n">
        <v>4104233.65</v>
      </c>
      <c r="AL6" s="5" t="n">
        <v>4104241.66</v>
      </c>
      <c r="AM6" s="5" t="n">
        <v>4104241.66</v>
      </c>
      <c r="AN6" s="5" t="n">
        <v>4104241.66</v>
      </c>
      <c r="AO6" s="5" t="n">
        <v>4104241.66</v>
      </c>
      <c r="AP6" s="5" t="n">
        <v>4104241.66</v>
      </c>
    </row>
    <row r="7">
      <c r="A7" s="6" t="inlineStr">
        <is>
          <t>2023-06</t>
        </is>
      </c>
      <c r="B7" s="5" t="n">
        <v>838723.26</v>
      </c>
      <c r="C7" s="5" t="n">
        <v>2555195.02</v>
      </c>
      <c r="D7" s="5" t="n">
        <v>4032683.07</v>
      </c>
      <c r="E7" s="5" t="n">
        <v>5184765.93</v>
      </c>
      <c r="F7" s="5" t="n">
        <v>6039931.58</v>
      </c>
      <c r="G7" s="5" t="n">
        <v>6774719.05</v>
      </c>
      <c r="H7" s="5" t="n">
        <v>7278592.13</v>
      </c>
      <c r="I7" s="5" t="n">
        <v>7633890.05</v>
      </c>
      <c r="J7" s="5" t="n">
        <v>7868158.67</v>
      </c>
      <c r="K7" s="5" t="n">
        <v>8040326.71</v>
      </c>
      <c r="L7" s="5" t="n">
        <v>8164177.05</v>
      </c>
      <c r="M7" s="5" t="n">
        <v>8266965.07</v>
      </c>
      <c r="N7" s="5" t="n">
        <v>8328911.11</v>
      </c>
      <c r="O7" s="5" t="n">
        <v>8377306.94</v>
      </c>
      <c r="P7" s="5" t="n">
        <v>8409000.68</v>
      </c>
      <c r="Q7" s="5" t="n">
        <v>8432055.890000001</v>
      </c>
      <c r="R7" s="5" t="n">
        <v>8448963.439999999</v>
      </c>
      <c r="S7" s="5" t="n">
        <v>8462339.08</v>
      </c>
      <c r="T7" s="5" t="n">
        <v>8470875.26</v>
      </c>
      <c r="U7" s="5" t="n">
        <v>8476874.140000001</v>
      </c>
      <c r="V7" s="5" t="n">
        <v>8481868.609999999</v>
      </c>
      <c r="W7" s="5" t="n">
        <v>8485543.640000001</v>
      </c>
      <c r="X7" s="5" t="n">
        <v>8487559.98</v>
      </c>
      <c r="Y7" s="5" t="n">
        <v>8489397.4</v>
      </c>
      <c r="Z7" s="5" t="n">
        <v>8490660.51</v>
      </c>
      <c r="AA7" s="5" t="n">
        <v>8491423.710000001</v>
      </c>
      <c r="AB7" s="5" t="n">
        <v>8492013.93</v>
      </c>
      <c r="AC7" s="5" t="n">
        <v>8492405.74</v>
      </c>
      <c r="AD7" s="5" t="n">
        <v>8492701.4</v>
      </c>
      <c r="AE7" s="5" t="n">
        <v>8492921.5</v>
      </c>
      <c r="AF7" s="5" t="n">
        <v>8493065.42</v>
      </c>
      <c r="AG7" s="5" t="n">
        <v>8493161.210000001</v>
      </c>
      <c r="AH7" s="5" t="n">
        <v>8493239.01</v>
      </c>
      <c r="AI7" s="5" t="n">
        <v>8493289.970000001</v>
      </c>
      <c r="AJ7" s="5" t="n">
        <v>8493323.09</v>
      </c>
      <c r="AK7" s="5" t="n">
        <v>8493348.15</v>
      </c>
      <c r="AL7" s="5" t="n">
        <v>8493363.289999999</v>
      </c>
      <c r="AM7" s="5" t="n">
        <v>8493363.289999999</v>
      </c>
      <c r="AN7" s="5" t="n">
        <v>8493363.289999999</v>
      </c>
      <c r="AO7" s="5" t="n">
        <v>8493363.289999999</v>
      </c>
    </row>
    <row r="8">
      <c r="A8" s="6" t="inlineStr">
        <is>
          <t>2023-07</t>
        </is>
      </c>
      <c r="B8" s="5" t="n">
        <v>661413.65</v>
      </c>
      <c r="C8" s="5" t="n">
        <v>2159551.58</v>
      </c>
      <c r="D8" s="5" t="n">
        <v>3270308.11</v>
      </c>
      <c r="E8" s="5" t="n">
        <v>4254292.17</v>
      </c>
      <c r="F8" s="5" t="n">
        <v>4959647.4</v>
      </c>
      <c r="G8" s="5" t="n">
        <v>5493078.89</v>
      </c>
      <c r="H8" s="5" t="n">
        <v>5879858.5</v>
      </c>
      <c r="I8" s="5" t="n">
        <v>6159644.1</v>
      </c>
      <c r="J8" s="5" t="n">
        <v>6361427.18</v>
      </c>
      <c r="K8" s="5" t="n">
        <v>6500120.93</v>
      </c>
      <c r="L8" s="5" t="n">
        <v>6608410.23</v>
      </c>
      <c r="M8" s="5" t="n">
        <v>6683015.94</v>
      </c>
      <c r="N8" s="5" t="n">
        <v>6733447.67</v>
      </c>
      <c r="O8" s="5" t="n">
        <v>6765207.06</v>
      </c>
      <c r="P8" s="5" t="n">
        <v>6791949.93</v>
      </c>
      <c r="Q8" s="5" t="n">
        <v>6814318.74</v>
      </c>
      <c r="R8" s="5" t="n">
        <v>6826985.61</v>
      </c>
      <c r="S8" s="5" t="n">
        <v>6834593.13</v>
      </c>
      <c r="T8" s="5" t="n">
        <v>6841939.06</v>
      </c>
      <c r="U8" s="5" t="n">
        <v>6846428.04</v>
      </c>
      <c r="V8" s="5" t="n">
        <v>6849594.28</v>
      </c>
      <c r="W8" s="5" t="n">
        <v>6851888.78</v>
      </c>
      <c r="X8" s="5" t="n">
        <v>6853326.07</v>
      </c>
      <c r="Y8" s="5" t="n">
        <v>6854408.42</v>
      </c>
      <c r="Z8" s="5" t="n">
        <v>6855285.12</v>
      </c>
      <c r="AA8" s="5" t="n">
        <v>6855814.58</v>
      </c>
      <c r="AB8" s="5" t="n">
        <v>6856228.54</v>
      </c>
      <c r="AC8" s="5" t="n">
        <v>6856535.07</v>
      </c>
      <c r="AD8" s="5" t="n">
        <v>6856749.13</v>
      </c>
      <c r="AE8" s="5" t="n">
        <v>6856908.53</v>
      </c>
      <c r="AF8" s="5" t="n">
        <v>6857020.38</v>
      </c>
      <c r="AG8" s="5" t="n">
        <v>6857096.36</v>
      </c>
      <c r="AH8" s="5" t="n">
        <v>6857144.5</v>
      </c>
      <c r="AI8" s="5" t="n">
        <v>6857184.81</v>
      </c>
      <c r="AJ8" s="5" t="n">
        <v>6857207.83</v>
      </c>
      <c r="AK8" s="5" t="n">
        <v>6857225.25</v>
      </c>
      <c r="AL8" s="5" t="n">
        <v>6857240.32</v>
      </c>
      <c r="AM8" s="5" t="n">
        <v>6857240.32</v>
      </c>
      <c r="AN8" s="5" t="n">
        <v>6857240.32</v>
      </c>
    </row>
    <row r="9">
      <c r="A9" s="6" t="inlineStr">
        <is>
          <t>2023-08</t>
        </is>
      </c>
      <c r="B9" s="5" t="n">
        <v>700174.3100000001</v>
      </c>
      <c r="C9" s="5" t="n">
        <v>2210313.83</v>
      </c>
      <c r="D9" s="5" t="n">
        <v>3239965.49</v>
      </c>
      <c r="E9" s="5" t="n">
        <v>4334348.16</v>
      </c>
      <c r="F9" s="5" t="n">
        <v>5080772.06</v>
      </c>
      <c r="G9" s="5" t="n">
        <v>5705763.04</v>
      </c>
      <c r="H9" s="5" t="n">
        <v>6135318.37</v>
      </c>
      <c r="I9" s="5" t="n">
        <v>6458214.36</v>
      </c>
      <c r="J9" s="5" t="n">
        <v>6681210.05</v>
      </c>
      <c r="K9" s="5" t="n">
        <v>6847448.66</v>
      </c>
      <c r="L9" s="5" t="n">
        <v>6963908.54</v>
      </c>
      <c r="M9" s="5" t="n">
        <v>7060164.96</v>
      </c>
      <c r="N9" s="5" t="n">
        <v>7116352.27</v>
      </c>
      <c r="O9" s="5" t="n">
        <v>7158101.57</v>
      </c>
      <c r="P9" s="5" t="n">
        <v>7190228.65</v>
      </c>
      <c r="Q9" s="5" t="n">
        <v>7211714.77</v>
      </c>
      <c r="R9" s="5" t="n">
        <v>7226096.12</v>
      </c>
      <c r="S9" s="5" t="n">
        <v>7236090.5</v>
      </c>
      <c r="T9" s="5" t="n">
        <v>7243472.98</v>
      </c>
      <c r="U9" s="5" t="n">
        <v>7248685.59</v>
      </c>
      <c r="V9" s="5" t="n">
        <v>7252731.82</v>
      </c>
      <c r="W9" s="5" t="n">
        <v>7255515.41</v>
      </c>
      <c r="X9" s="5" t="n">
        <v>7257461.07</v>
      </c>
      <c r="Y9" s="5" t="n">
        <v>7258868.45</v>
      </c>
      <c r="Z9" s="5" t="n">
        <v>7259901.98</v>
      </c>
      <c r="AA9" s="5" t="n">
        <v>7260614.37</v>
      </c>
      <c r="AB9" s="5" t="n">
        <v>7261130.09</v>
      </c>
      <c r="AC9" s="5" t="n">
        <v>7261487.56</v>
      </c>
      <c r="AD9" s="5" t="n">
        <v>7261726.18</v>
      </c>
      <c r="AE9" s="5" t="n">
        <v>7261887.35</v>
      </c>
      <c r="AF9" s="5" t="n">
        <v>7261991.5</v>
      </c>
      <c r="AG9" s="5" t="n">
        <v>7262065.15</v>
      </c>
      <c r="AH9" s="5" t="n">
        <v>7262136.58</v>
      </c>
      <c r="AI9" s="5" t="n">
        <v>7262181.38</v>
      </c>
      <c r="AJ9" s="5" t="n">
        <v>7262205.59</v>
      </c>
      <c r="AK9" s="5" t="n">
        <v>7262227.4</v>
      </c>
      <c r="AL9" s="5" t="n">
        <v>7262239.8</v>
      </c>
      <c r="AM9" s="5" t="n">
        <v>7262239.8</v>
      </c>
    </row>
    <row r="10">
      <c r="A10" s="6" t="inlineStr">
        <is>
          <t>2023-09</t>
        </is>
      </c>
      <c r="B10" s="5" t="n">
        <v>933093.13</v>
      </c>
      <c r="C10" s="5" t="n">
        <v>2648417.57</v>
      </c>
      <c r="D10" s="5" t="n">
        <v>4160324.18</v>
      </c>
      <c r="E10" s="5" t="n">
        <v>5267445.86</v>
      </c>
      <c r="F10" s="5" t="n">
        <v>6200177.32</v>
      </c>
      <c r="G10" s="5" t="n">
        <v>6838811.15</v>
      </c>
      <c r="H10" s="5" t="n">
        <v>7319189.95</v>
      </c>
      <c r="I10" s="5" t="n">
        <v>7697239.77</v>
      </c>
      <c r="J10" s="5" t="n">
        <v>7944184.82</v>
      </c>
      <c r="K10" s="5" t="n">
        <v>8127091.42</v>
      </c>
      <c r="L10" s="5" t="n">
        <v>8282696.92</v>
      </c>
      <c r="M10" s="5" t="n">
        <v>8375041.67</v>
      </c>
      <c r="N10" s="5" t="n">
        <v>8436479.17</v>
      </c>
      <c r="O10" s="5" t="n">
        <v>8483571.880000001</v>
      </c>
      <c r="P10" s="5" t="n">
        <v>8520693.52</v>
      </c>
      <c r="Q10" s="5" t="n">
        <v>8545562.699999999</v>
      </c>
      <c r="R10" s="5" t="n">
        <v>8561668.67</v>
      </c>
      <c r="S10" s="5" t="n">
        <v>8573761.630000001</v>
      </c>
      <c r="T10" s="5" t="n">
        <v>8583319.449999999</v>
      </c>
      <c r="U10" s="5" t="n">
        <v>8589425.779999999</v>
      </c>
      <c r="V10" s="5" t="n">
        <v>8593925.210000001</v>
      </c>
      <c r="W10" s="5" t="n">
        <v>8597015.51</v>
      </c>
      <c r="X10" s="5" t="n">
        <v>8599119.32</v>
      </c>
      <c r="Y10" s="5" t="n">
        <v>8600681.949999999</v>
      </c>
      <c r="Z10" s="5" t="n">
        <v>8601711.810000001</v>
      </c>
      <c r="AA10" s="5" t="n">
        <v>8602435.49</v>
      </c>
      <c r="AB10" s="5" t="n">
        <v>8602979.93</v>
      </c>
      <c r="AC10" s="5" t="n">
        <v>8603328.789999999</v>
      </c>
      <c r="AD10" s="5" t="n">
        <v>8603629.880000001</v>
      </c>
      <c r="AE10" s="5" t="n">
        <v>8603806.5</v>
      </c>
      <c r="AF10" s="5" t="n">
        <v>8603933.060000001</v>
      </c>
      <c r="AG10" s="5" t="n">
        <v>8604025.210000001</v>
      </c>
      <c r="AH10" s="5" t="n">
        <v>8604093.539999999</v>
      </c>
      <c r="AI10" s="5" t="n">
        <v>8604137.24</v>
      </c>
      <c r="AJ10" s="5" t="n">
        <v>8604178.390000001</v>
      </c>
      <c r="AK10" s="5" t="n">
        <v>8604199.74</v>
      </c>
      <c r="AL10" s="5" t="n">
        <v>8604216.720000001</v>
      </c>
    </row>
    <row r="11">
      <c r="A11" s="6" t="inlineStr">
        <is>
          <t>2023-10</t>
        </is>
      </c>
      <c r="B11" s="5" t="n">
        <v>402402.98</v>
      </c>
      <c r="C11" s="5" t="n">
        <v>1351284.8</v>
      </c>
      <c r="D11" s="5" t="n">
        <v>2123108.62</v>
      </c>
      <c r="E11" s="5" t="n">
        <v>2719375.9</v>
      </c>
      <c r="F11" s="5" t="n">
        <v>3192894.61</v>
      </c>
      <c r="G11" s="5" t="n">
        <v>3526110.94</v>
      </c>
      <c r="H11" s="5" t="n">
        <v>3765874.07</v>
      </c>
      <c r="I11" s="5" t="n">
        <v>3927552.21</v>
      </c>
      <c r="J11" s="5" t="n">
        <v>4050756.55</v>
      </c>
      <c r="K11" s="5" t="n">
        <v>4144161.35</v>
      </c>
      <c r="L11" s="5" t="n">
        <v>4215595.26</v>
      </c>
      <c r="M11" s="5" t="n">
        <v>4267037.54</v>
      </c>
      <c r="N11" s="5" t="n">
        <v>4302236.26</v>
      </c>
      <c r="O11" s="5" t="n">
        <v>4326604.3</v>
      </c>
      <c r="P11" s="5" t="n">
        <v>4344881.71</v>
      </c>
      <c r="Q11" s="5" t="n">
        <v>4355827.34</v>
      </c>
      <c r="R11" s="5" t="n">
        <v>4364300.18</v>
      </c>
      <c r="S11" s="5" t="n">
        <v>4370062.38</v>
      </c>
      <c r="T11" s="5" t="n">
        <v>4374211.03</v>
      </c>
      <c r="U11" s="5" t="n">
        <v>4377510.15</v>
      </c>
      <c r="V11" s="5" t="n">
        <v>4379702.84</v>
      </c>
      <c r="W11" s="5" t="n">
        <v>4381249.16</v>
      </c>
      <c r="X11" s="5" t="n">
        <v>4382263.62</v>
      </c>
      <c r="Y11" s="5" t="n">
        <v>4382911.22</v>
      </c>
      <c r="Z11" s="5" t="n">
        <v>4383417.3</v>
      </c>
      <c r="AA11" s="5" t="n">
        <v>4383757.47</v>
      </c>
      <c r="AB11" s="5" t="n">
        <v>4384063.19</v>
      </c>
      <c r="AC11" s="5" t="n">
        <v>4384273.24</v>
      </c>
      <c r="AD11" s="5" t="n">
        <v>4384397.45</v>
      </c>
      <c r="AE11" s="5" t="n">
        <v>4384504.39</v>
      </c>
      <c r="AF11" s="5" t="n">
        <v>4384578.35</v>
      </c>
      <c r="AG11" s="5" t="n">
        <v>4384620.89</v>
      </c>
      <c r="AH11" s="5" t="n">
        <v>4384652.19</v>
      </c>
      <c r="AI11" s="5" t="n">
        <v>4384680.08</v>
      </c>
      <c r="AJ11" s="5" t="n">
        <v>4384695.49</v>
      </c>
      <c r="AK11" s="5" t="n">
        <v>4384706.1</v>
      </c>
    </row>
    <row r="12">
      <c r="A12" s="6" t="inlineStr">
        <is>
          <t>2023-11</t>
        </is>
      </c>
      <c r="B12" s="5" t="n">
        <v>1029826.67</v>
      </c>
      <c r="C12" s="5" t="n">
        <v>2846041.64</v>
      </c>
      <c r="D12" s="5" t="n">
        <v>4524235.95</v>
      </c>
      <c r="E12" s="5" t="n">
        <v>5928868.03</v>
      </c>
      <c r="F12" s="5" t="n">
        <v>6952994.12</v>
      </c>
      <c r="G12" s="5" t="n">
        <v>7707883.98</v>
      </c>
      <c r="H12" s="5" t="n">
        <v>8251819.21</v>
      </c>
      <c r="I12" s="5" t="n">
        <v>8582812.640000001</v>
      </c>
      <c r="J12" s="5" t="n">
        <v>8856788.039999999</v>
      </c>
      <c r="K12" s="5" t="n">
        <v>9054576.73</v>
      </c>
      <c r="L12" s="5" t="n">
        <v>9206951.41</v>
      </c>
      <c r="M12" s="5" t="n">
        <v>9317261.140000001</v>
      </c>
      <c r="N12" s="5" t="n">
        <v>9380165.800000001</v>
      </c>
      <c r="O12" s="5" t="n">
        <v>9434946.84</v>
      </c>
      <c r="P12" s="5" t="n">
        <v>9473650.640000001</v>
      </c>
      <c r="Q12" s="5" t="n">
        <v>9496787.029999999</v>
      </c>
      <c r="R12" s="5" t="n">
        <v>9517985.199999999</v>
      </c>
      <c r="S12" s="5" t="n">
        <v>9529767.57</v>
      </c>
      <c r="T12" s="5" t="n">
        <v>9538299.24</v>
      </c>
      <c r="U12" s="5" t="n">
        <v>9544548.699999999</v>
      </c>
      <c r="V12" s="5" t="n">
        <v>9549246.85</v>
      </c>
      <c r="W12" s="5" t="n">
        <v>9552431.699999999</v>
      </c>
      <c r="X12" s="5" t="n">
        <v>9554544.949999999</v>
      </c>
      <c r="Y12" s="5" t="n">
        <v>9556384.74</v>
      </c>
      <c r="Z12" s="5" t="n">
        <v>9557474.82</v>
      </c>
      <c r="AA12" s="5" t="n">
        <v>9558350.42</v>
      </c>
      <c r="AB12" s="5" t="n">
        <v>9558877.51</v>
      </c>
      <c r="AC12" s="5" t="n">
        <v>9559283.15</v>
      </c>
      <c r="AD12" s="5" t="n">
        <v>9559563.039999999</v>
      </c>
      <c r="AE12" s="5" t="n">
        <v>9559780.23</v>
      </c>
      <c r="AF12" s="5" t="n">
        <v>9559897.550000001</v>
      </c>
      <c r="AG12" s="5" t="n">
        <v>9559991.58</v>
      </c>
      <c r="AH12" s="5" t="n">
        <v>9560066.84</v>
      </c>
      <c r="AI12" s="5" t="n">
        <v>9560117.65</v>
      </c>
      <c r="AJ12" s="5" t="n">
        <v>9560155.16</v>
      </c>
    </row>
    <row r="13">
      <c r="A13" s="6" t="inlineStr">
        <is>
          <t>2023-12</t>
        </is>
      </c>
      <c r="B13" s="5" t="n">
        <v>927192.15</v>
      </c>
      <c r="C13" s="5" t="n">
        <v>2562150.55</v>
      </c>
      <c r="D13" s="5" t="n">
        <v>4127853.31</v>
      </c>
      <c r="E13" s="5" t="n">
        <v>5302008.73</v>
      </c>
      <c r="F13" s="5" t="n">
        <v>6230588.03</v>
      </c>
      <c r="G13" s="5" t="n">
        <v>6799815.44</v>
      </c>
      <c r="H13" s="5" t="n">
        <v>7226078.6</v>
      </c>
      <c r="I13" s="5" t="n">
        <v>7584137.59</v>
      </c>
      <c r="J13" s="5" t="n">
        <v>7842660.91</v>
      </c>
      <c r="K13" s="5" t="n">
        <v>8032156.84</v>
      </c>
      <c r="L13" s="5" t="n">
        <v>8177960.59</v>
      </c>
      <c r="M13" s="5" t="n">
        <v>8267735.31</v>
      </c>
      <c r="N13" s="5" t="n">
        <v>8336205.91</v>
      </c>
      <c r="O13" s="5" t="n">
        <v>8387989.58</v>
      </c>
      <c r="P13" s="5" t="n">
        <v>8419422.15</v>
      </c>
      <c r="Q13" s="5" t="n">
        <v>8443370.220000001</v>
      </c>
      <c r="R13" s="5" t="n">
        <v>8459796.02</v>
      </c>
      <c r="S13" s="5" t="n">
        <v>8471995.199999999</v>
      </c>
      <c r="T13" s="5" t="n">
        <v>8480609.199999999</v>
      </c>
      <c r="U13" s="5" t="n">
        <v>8487204.67</v>
      </c>
      <c r="V13" s="5" t="n">
        <v>8491354.779999999</v>
      </c>
      <c r="W13" s="5" t="n">
        <v>8494301.560000001</v>
      </c>
      <c r="X13" s="5" t="n">
        <v>8496303.48</v>
      </c>
      <c r="Y13" s="5" t="n">
        <v>8497674.59</v>
      </c>
      <c r="Z13" s="5" t="n">
        <v>8498641.08</v>
      </c>
      <c r="AA13" s="5" t="n">
        <v>8499260.539999999</v>
      </c>
      <c r="AB13" s="5" t="n">
        <v>8499748</v>
      </c>
      <c r="AC13" s="5" t="n">
        <v>8500119.449999999</v>
      </c>
      <c r="AD13" s="5" t="n">
        <v>8500373.449999999</v>
      </c>
      <c r="AE13" s="5" t="n">
        <v>8500556.74</v>
      </c>
      <c r="AF13" s="5" t="n">
        <v>8500668.279999999</v>
      </c>
      <c r="AG13" s="5" t="n">
        <v>8500778.83</v>
      </c>
      <c r="AH13" s="5" t="n">
        <v>8500837.33</v>
      </c>
      <c r="AI13" s="5" t="n">
        <v>8500879.210000001</v>
      </c>
    </row>
    <row r="14">
      <c r="A14" s="6" t="inlineStr">
        <is>
          <t>2024-01</t>
        </is>
      </c>
      <c r="B14" s="5" t="n">
        <v>773195.73</v>
      </c>
      <c r="C14" s="5" t="n">
        <v>2260181.15</v>
      </c>
      <c r="D14" s="5" t="n">
        <v>3311821.9</v>
      </c>
      <c r="E14" s="5" t="n">
        <v>4294002.17</v>
      </c>
      <c r="F14" s="5" t="n">
        <v>5047133.24</v>
      </c>
      <c r="G14" s="5" t="n">
        <v>5561346.64</v>
      </c>
      <c r="H14" s="5" t="n">
        <v>6024531.02</v>
      </c>
      <c r="I14" s="5" t="n">
        <v>6382278.5</v>
      </c>
      <c r="J14" s="5" t="n">
        <v>6574485.99</v>
      </c>
      <c r="K14" s="5" t="n">
        <v>6721045.62</v>
      </c>
      <c r="L14" s="5" t="n">
        <v>6830767.98</v>
      </c>
      <c r="M14" s="5" t="n">
        <v>6915429.71</v>
      </c>
      <c r="N14" s="5" t="n">
        <v>6968842.31</v>
      </c>
      <c r="O14" s="5" t="n">
        <v>7007845.14</v>
      </c>
      <c r="P14" s="5" t="n">
        <v>7035253.27</v>
      </c>
      <c r="Q14" s="5" t="n">
        <v>7056599.72</v>
      </c>
      <c r="R14" s="5" t="n">
        <v>7070032.52</v>
      </c>
      <c r="S14" s="5" t="n">
        <v>7079620.29</v>
      </c>
      <c r="T14" s="5" t="n">
        <v>7088864.01</v>
      </c>
      <c r="U14" s="5" t="n">
        <v>7093678.92</v>
      </c>
      <c r="V14" s="5" t="n">
        <v>7096865.82</v>
      </c>
      <c r="W14" s="5" t="n">
        <v>7099260.01</v>
      </c>
      <c r="X14" s="5" t="n">
        <v>7100844.03</v>
      </c>
      <c r="Y14" s="5" t="n">
        <v>7102064.83</v>
      </c>
      <c r="Z14" s="5" t="n">
        <v>7102975.34</v>
      </c>
      <c r="AA14" s="5" t="n">
        <v>7103590.39</v>
      </c>
      <c r="AB14" s="5" t="n">
        <v>7104002.11</v>
      </c>
      <c r="AC14" s="5" t="n">
        <v>7104303.03</v>
      </c>
      <c r="AD14" s="5" t="n">
        <v>7104505.49</v>
      </c>
      <c r="AE14" s="5" t="n">
        <v>7104620.59</v>
      </c>
      <c r="AF14" s="5" t="n">
        <v>7104729.54</v>
      </c>
      <c r="AG14" s="5" t="n">
        <v>7104806.68</v>
      </c>
      <c r="AH14" s="5" t="n">
        <v>7104850.79</v>
      </c>
    </row>
    <row r="15">
      <c r="A15" s="6" t="inlineStr">
        <is>
          <t>2024-02</t>
        </is>
      </c>
      <c r="B15" s="5" t="n">
        <v>1061879.82</v>
      </c>
      <c r="C15" s="5" t="n">
        <v>2828057.89</v>
      </c>
      <c r="D15" s="5" t="n">
        <v>4544755.24</v>
      </c>
      <c r="E15" s="5" t="n">
        <v>5962457.81</v>
      </c>
      <c r="F15" s="5" t="n">
        <v>7001910.56</v>
      </c>
      <c r="G15" s="5" t="n">
        <v>7707692.75</v>
      </c>
      <c r="H15" s="5" t="n">
        <v>8289056.11</v>
      </c>
      <c r="I15" s="5" t="n">
        <v>8667019.73</v>
      </c>
      <c r="J15" s="5" t="n">
        <v>8944644.23</v>
      </c>
      <c r="K15" s="5" t="n">
        <v>9135056.939999999</v>
      </c>
      <c r="L15" s="5" t="n">
        <v>9265650.449999999</v>
      </c>
      <c r="M15" s="5" t="n">
        <v>9366699.619999999</v>
      </c>
      <c r="N15" s="5" t="n">
        <v>9439513.109999999</v>
      </c>
      <c r="O15" s="5" t="n">
        <v>9490591.970000001</v>
      </c>
      <c r="P15" s="5" t="n">
        <v>9520682.6</v>
      </c>
      <c r="Q15" s="5" t="n">
        <v>9546392.199999999</v>
      </c>
      <c r="R15" s="5" t="n">
        <v>9563603.84</v>
      </c>
      <c r="S15" s="5" t="n">
        <v>9577017.689999999</v>
      </c>
      <c r="T15" s="5" t="n">
        <v>9586081.16</v>
      </c>
      <c r="U15" s="5" t="n">
        <v>9592734.720000001</v>
      </c>
      <c r="V15" s="5" t="n">
        <v>9597085.810000001</v>
      </c>
      <c r="W15" s="5" t="n">
        <v>9600196.67</v>
      </c>
      <c r="X15" s="5" t="n">
        <v>9602365.869999999</v>
      </c>
      <c r="Y15" s="5" t="n">
        <v>9603710.67</v>
      </c>
      <c r="Z15" s="5" t="n">
        <v>9604803.9</v>
      </c>
      <c r="AA15" s="5" t="n">
        <v>9605528.99</v>
      </c>
      <c r="AB15" s="5" t="n">
        <v>9606077.58</v>
      </c>
      <c r="AC15" s="5" t="n">
        <v>9606481.99</v>
      </c>
      <c r="AD15" s="5" t="n">
        <v>9606713.300000001</v>
      </c>
      <c r="AE15" s="5" t="n">
        <v>9606939.189999999</v>
      </c>
      <c r="AF15" s="5" t="n">
        <v>9607056.029999999</v>
      </c>
      <c r="AG15" s="5" t="n">
        <v>9607145.109999999</v>
      </c>
    </row>
    <row r="16">
      <c r="A16" s="6" t="inlineStr">
        <is>
          <t>2024-03</t>
        </is>
      </c>
      <c r="B16" s="5" t="n">
        <v>1039460.89</v>
      </c>
      <c r="C16" s="5" t="n">
        <v>3153233.55</v>
      </c>
      <c r="D16" s="5" t="n">
        <v>4848146.73</v>
      </c>
      <c r="E16" s="5" t="n">
        <v>6270169.67</v>
      </c>
      <c r="F16" s="5" t="n">
        <v>7243617.86</v>
      </c>
      <c r="G16" s="5" t="n">
        <v>7956916.14</v>
      </c>
      <c r="H16" s="5" t="n">
        <v>8534303.210000001</v>
      </c>
      <c r="I16" s="5" t="n">
        <v>8901473.99</v>
      </c>
      <c r="J16" s="5" t="n">
        <v>9198552</v>
      </c>
      <c r="K16" s="5" t="n">
        <v>9393616.640000001</v>
      </c>
      <c r="L16" s="5" t="n">
        <v>9537841.699999999</v>
      </c>
      <c r="M16" s="5" t="n">
        <v>9650525.6</v>
      </c>
      <c r="N16" s="5" t="n">
        <v>9731889.529999999</v>
      </c>
      <c r="O16" s="5" t="n">
        <v>9785988.07</v>
      </c>
      <c r="P16" s="5" t="n">
        <v>9826300.09</v>
      </c>
      <c r="Q16" s="5" t="n">
        <v>9851959.18</v>
      </c>
      <c r="R16" s="5" t="n">
        <v>9870049.630000001</v>
      </c>
      <c r="S16" s="5" t="n">
        <v>9881906.59</v>
      </c>
      <c r="T16" s="5" t="n">
        <v>9891590.98</v>
      </c>
      <c r="U16" s="5" t="n">
        <v>9897460.83</v>
      </c>
      <c r="V16" s="5" t="n">
        <v>9902121.369999999</v>
      </c>
      <c r="W16" s="5" t="n">
        <v>9905481.17</v>
      </c>
      <c r="X16" s="5" t="n">
        <v>9907635.58</v>
      </c>
      <c r="Y16" s="5" t="n">
        <v>9909428.65</v>
      </c>
      <c r="Z16" s="5" t="n">
        <v>9910563.6</v>
      </c>
      <c r="AA16" s="5" t="n">
        <v>9911281.630000001</v>
      </c>
      <c r="AB16" s="5" t="n">
        <v>9911889.210000001</v>
      </c>
      <c r="AC16" s="5" t="n">
        <v>9912192.99</v>
      </c>
      <c r="AD16" s="5" t="n">
        <v>9912520.960000001</v>
      </c>
      <c r="AE16" s="5" t="n">
        <v>9912693.35</v>
      </c>
      <c r="AF16" s="5" t="n">
        <v>9912846.859999999</v>
      </c>
    </row>
    <row r="17">
      <c r="A17" s="6" t="inlineStr">
        <is>
          <t>2024-04</t>
        </is>
      </c>
      <c r="B17" s="5" t="n">
        <v>471171.69</v>
      </c>
      <c r="C17" s="5" t="n">
        <v>1316414.42</v>
      </c>
      <c r="D17" s="5" t="n">
        <v>1934843.88</v>
      </c>
      <c r="E17" s="5" t="n">
        <v>2452009.45</v>
      </c>
      <c r="F17" s="5" t="n">
        <v>2918026.5</v>
      </c>
      <c r="G17" s="5" t="n">
        <v>3209486.2</v>
      </c>
      <c r="H17" s="5" t="n">
        <v>3443663.44</v>
      </c>
      <c r="I17" s="5" t="n">
        <v>3600390.75</v>
      </c>
      <c r="J17" s="5" t="n">
        <v>3711630.1</v>
      </c>
      <c r="K17" s="5" t="n">
        <v>3785896.27</v>
      </c>
      <c r="L17" s="5" t="n">
        <v>3849195.84</v>
      </c>
      <c r="M17" s="5" t="n">
        <v>3893018.47</v>
      </c>
      <c r="N17" s="5" t="n">
        <v>3925558.41</v>
      </c>
      <c r="O17" s="5" t="n">
        <v>3947744.03</v>
      </c>
      <c r="P17" s="5" t="n">
        <v>3962909.27</v>
      </c>
      <c r="Q17" s="5" t="n">
        <v>3973474.21</v>
      </c>
      <c r="R17" s="5" t="n">
        <v>3981429.62</v>
      </c>
      <c r="S17" s="5" t="n">
        <v>3986520.5</v>
      </c>
      <c r="T17" s="5" t="n">
        <v>3990380.46</v>
      </c>
      <c r="U17" s="5" t="n">
        <v>3992892.86</v>
      </c>
      <c r="V17" s="5" t="n">
        <v>3994642.01</v>
      </c>
      <c r="W17" s="5" t="n">
        <v>3996039.09</v>
      </c>
      <c r="X17" s="5" t="n">
        <v>3996899.3</v>
      </c>
      <c r="Y17" s="5" t="n">
        <v>3997534.56</v>
      </c>
      <c r="Z17" s="5" t="n">
        <v>3997942.66</v>
      </c>
      <c r="AA17" s="5" t="n">
        <v>3998273.55</v>
      </c>
      <c r="AB17" s="5" t="n">
        <v>3998453.05</v>
      </c>
      <c r="AC17" s="5" t="n">
        <v>3998640.54</v>
      </c>
      <c r="AD17" s="5" t="n">
        <v>3998746.19</v>
      </c>
      <c r="AE17" s="5" t="n">
        <v>3998827.17</v>
      </c>
    </row>
    <row r="18">
      <c r="A18" s="6" t="inlineStr">
        <is>
          <t>2024-05</t>
        </is>
      </c>
      <c r="B18" s="5" t="n">
        <v>927977.46</v>
      </c>
      <c r="C18" s="5" t="n">
        <v>2437370.04</v>
      </c>
      <c r="D18" s="5" t="n">
        <v>3858163.07</v>
      </c>
      <c r="E18" s="5" t="n">
        <v>4896098.71</v>
      </c>
      <c r="F18" s="5" t="n">
        <v>5704498.06</v>
      </c>
      <c r="G18" s="5" t="n">
        <v>6276205.02</v>
      </c>
      <c r="H18" s="5" t="n">
        <v>6650887.13</v>
      </c>
      <c r="I18" s="5" t="n">
        <v>6938604.95</v>
      </c>
      <c r="J18" s="5" t="n">
        <v>7164828.4</v>
      </c>
      <c r="K18" s="5" t="n">
        <v>7314525.72</v>
      </c>
      <c r="L18" s="5" t="n">
        <v>7430243.68</v>
      </c>
      <c r="M18" s="5" t="n">
        <v>7520088.36</v>
      </c>
      <c r="N18" s="5" t="n">
        <v>7569541.92</v>
      </c>
      <c r="O18" s="5" t="n">
        <v>7601230.57</v>
      </c>
      <c r="P18" s="5" t="n">
        <v>7630029.93</v>
      </c>
      <c r="Q18" s="5" t="n">
        <v>7650054.55</v>
      </c>
      <c r="R18" s="5" t="n">
        <v>7661757.28</v>
      </c>
      <c r="S18" s="5" t="n">
        <v>7672262.6</v>
      </c>
      <c r="T18" s="5" t="n">
        <v>7679102.77</v>
      </c>
      <c r="U18" s="5" t="n">
        <v>7684096.84</v>
      </c>
      <c r="V18" s="5" t="n">
        <v>7687758.07</v>
      </c>
      <c r="W18" s="5" t="n">
        <v>7690068.06</v>
      </c>
      <c r="X18" s="5" t="n">
        <v>7691611.25</v>
      </c>
      <c r="Y18" s="5" t="n">
        <v>7692758.96</v>
      </c>
      <c r="Z18" s="5" t="n">
        <v>7693560.95</v>
      </c>
      <c r="AA18" s="5" t="n">
        <v>7694056.92</v>
      </c>
      <c r="AB18" s="5" t="n">
        <v>7694505.9</v>
      </c>
      <c r="AC18" s="5" t="n">
        <v>7694797.69</v>
      </c>
      <c r="AD18" s="5" t="n">
        <v>7694975.9</v>
      </c>
    </row>
    <row r="19">
      <c r="A19" s="6" t="inlineStr">
        <is>
          <t>2024-06</t>
        </is>
      </c>
      <c r="B19" s="5" t="n">
        <v>1215576.75</v>
      </c>
      <c r="C19" s="5" t="n">
        <v>3048076.05</v>
      </c>
      <c r="D19" s="5" t="n">
        <v>4728746.97</v>
      </c>
      <c r="E19" s="5" t="n">
        <v>6098370.81</v>
      </c>
      <c r="F19" s="5" t="n">
        <v>7122141.8</v>
      </c>
      <c r="G19" s="5" t="n">
        <v>7913285.71</v>
      </c>
      <c r="H19" s="5" t="n">
        <v>8418071.34</v>
      </c>
      <c r="I19" s="5" t="n">
        <v>8836037.130000001</v>
      </c>
      <c r="J19" s="5" t="n">
        <v>9135769.960000001</v>
      </c>
      <c r="K19" s="5" t="n">
        <v>9322555.01</v>
      </c>
      <c r="L19" s="5" t="n">
        <v>9465541.75</v>
      </c>
      <c r="M19" s="5" t="n">
        <v>9561723.439999999</v>
      </c>
      <c r="N19" s="5" t="n">
        <v>9629768.82</v>
      </c>
      <c r="O19" s="5" t="n">
        <v>9683005.460000001</v>
      </c>
      <c r="P19" s="5" t="n">
        <v>9719822.5</v>
      </c>
      <c r="Q19" s="5" t="n">
        <v>9744867.73</v>
      </c>
      <c r="R19" s="5" t="n">
        <v>9764380.32</v>
      </c>
      <c r="S19" s="5" t="n">
        <v>9777171.76</v>
      </c>
      <c r="T19" s="5" t="n">
        <v>9785607.310000001</v>
      </c>
      <c r="U19" s="5" t="n">
        <v>9791577.210000001</v>
      </c>
      <c r="V19" s="5" t="n">
        <v>9795774.98</v>
      </c>
      <c r="W19" s="5" t="n">
        <v>9798787.359999999</v>
      </c>
      <c r="X19" s="5" t="n">
        <v>9800707.449999999</v>
      </c>
      <c r="Y19" s="5" t="n">
        <v>9802222.01</v>
      </c>
      <c r="Z19" s="5" t="n">
        <v>9803093.49</v>
      </c>
      <c r="AA19" s="5" t="n">
        <v>9803965.68</v>
      </c>
      <c r="AB19" s="5" t="n">
        <v>9804469.52</v>
      </c>
      <c r="AC19" s="5" t="n">
        <v>9804824.810000001</v>
      </c>
    </row>
    <row r="20">
      <c r="A20" s="6" t="inlineStr">
        <is>
          <t>2024-07</t>
        </is>
      </c>
      <c r="B20" s="5" t="n">
        <v>1135390.18</v>
      </c>
      <c r="C20" s="5" t="n">
        <v>3277335.98</v>
      </c>
      <c r="D20" s="5" t="n">
        <v>5118770.2</v>
      </c>
      <c r="E20" s="5" t="n">
        <v>6536473.91</v>
      </c>
      <c r="F20" s="5" t="n">
        <v>7580410.07</v>
      </c>
      <c r="G20" s="5" t="n">
        <v>8339056.46</v>
      </c>
      <c r="H20" s="5" t="n">
        <v>8901963.24</v>
      </c>
      <c r="I20" s="5" t="n">
        <v>9317295.689999999</v>
      </c>
      <c r="J20" s="5" t="n">
        <v>9619290.800000001</v>
      </c>
      <c r="K20" s="5" t="n">
        <v>9818485.210000001</v>
      </c>
      <c r="L20" s="5" t="n">
        <v>9968047.960000001</v>
      </c>
      <c r="M20" s="5" t="n">
        <v>10065698.24</v>
      </c>
      <c r="N20" s="5" t="n">
        <v>10141036.16</v>
      </c>
      <c r="O20" s="5" t="n">
        <v>10193778.22</v>
      </c>
      <c r="P20" s="5" t="n">
        <v>10228208.7</v>
      </c>
      <c r="Q20" s="5" t="n">
        <v>10252979.86</v>
      </c>
      <c r="R20" s="5" t="n">
        <v>10272049.26</v>
      </c>
      <c r="S20" s="5" t="n">
        <v>10284100.01</v>
      </c>
      <c r="T20" s="5" t="n">
        <v>10293478.93</v>
      </c>
      <c r="U20" s="5" t="n">
        <v>10300121.42</v>
      </c>
      <c r="V20" s="5" t="n">
        <v>10304491.42</v>
      </c>
      <c r="W20" s="5" t="n">
        <v>10307865.42</v>
      </c>
      <c r="X20" s="5" t="n">
        <v>10310084.66</v>
      </c>
      <c r="Y20" s="5" t="n">
        <v>10311398.63</v>
      </c>
      <c r="Z20" s="5" t="n">
        <v>10312613.7</v>
      </c>
      <c r="AA20" s="5" t="n">
        <v>10313325.62</v>
      </c>
      <c r="AB20" s="5" t="n">
        <v>10313867.13</v>
      </c>
    </row>
    <row r="21">
      <c r="A21" s="6" t="inlineStr">
        <is>
          <t>2024-08</t>
        </is>
      </c>
      <c r="B21" s="5" t="n">
        <v>1023255.1</v>
      </c>
      <c r="C21" s="5" t="n">
        <v>3014171.44</v>
      </c>
      <c r="D21" s="5" t="n">
        <v>4723897.76</v>
      </c>
      <c r="E21" s="5" t="n">
        <v>6013566.21</v>
      </c>
      <c r="F21" s="5" t="n">
        <v>7031935.5</v>
      </c>
      <c r="G21" s="5" t="n">
        <v>7803602.7</v>
      </c>
      <c r="H21" s="5" t="n">
        <v>8321504.13</v>
      </c>
      <c r="I21" s="5" t="n">
        <v>8677371.23</v>
      </c>
      <c r="J21" s="5" t="n">
        <v>8931440.689999999</v>
      </c>
      <c r="K21" s="5" t="n">
        <v>9131462.83</v>
      </c>
      <c r="L21" s="5" t="n">
        <v>9251552.49</v>
      </c>
      <c r="M21" s="5" t="n">
        <v>9349832.93</v>
      </c>
      <c r="N21" s="5" t="n">
        <v>9421340.720000001</v>
      </c>
      <c r="O21" s="5" t="n">
        <v>9469516.1</v>
      </c>
      <c r="P21" s="5" t="n">
        <v>9502911.189999999</v>
      </c>
      <c r="Q21" s="5" t="n">
        <v>9528262.58</v>
      </c>
      <c r="R21" s="5" t="n">
        <v>9545373.75</v>
      </c>
      <c r="S21" s="5" t="n">
        <v>9557932.699999999</v>
      </c>
      <c r="T21" s="5" t="n">
        <v>9566142.67</v>
      </c>
      <c r="U21" s="5" t="n">
        <v>9572158.029999999</v>
      </c>
      <c r="V21" s="5" t="n">
        <v>9576653.66</v>
      </c>
      <c r="W21" s="5" t="n">
        <v>9580201.33</v>
      </c>
      <c r="X21" s="5" t="n">
        <v>9581905.66</v>
      </c>
      <c r="Y21" s="5" t="n">
        <v>9583494.08</v>
      </c>
      <c r="Z21" s="5" t="n">
        <v>9584525.74</v>
      </c>
      <c r="AA21" s="5" t="n">
        <v>9585148.93</v>
      </c>
    </row>
    <row r="22">
      <c r="A22" s="6" t="inlineStr">
        <is>
          <t>2024-09</t>
        </is>
      </c>
      <c r="B22" s="5" t="n">
        <v>899371.83</v>
      </c>
      <c r="C22" s="5" t="n">
        <v>2806296.68</v>
      </c>
      <c r="D22" s="5" t="n">
        <v>4346698.4</v>
      </c>
      <c r="E22" s="5" t="n">
        <v>5581409.45</v>
      </c>
      <c r="F22" s="5" t="n">
        <v>6475764.92</v>
      </c>
      <c r="G22" s="5" t="n">
        <v>7202063.17</v>
      </c>
      <c r="H22" s="5" t="n">
        <v>7627458.63</v>
      </c>
      <c r="I22" s="5" t="n">
        <v>7931474.88</v>
      </c>
      <c r="J22" s="5" t="n">
        <v>8187240.17</v>
      </c>
      <c r="K22" s="5" t="n">
        <v>8344498.17</v>
      </c>
      <c r="L22" s="5" t="n">
        <v>8457179.300000001</v>
      </c>
      <c r="M22" s="5" t="n">
        <v>8543489.23</v>
      </c>
      <c r="N22" s="5" t="n">
        <v>8602769.300000001</v>
      </c>
      <c r="O22" s="5" t="n">
        <v>8645967.41</v>
      </c>
      <c r="P22" s="5" t="n">
        <v>8675299.32</v>
      </c>
      <c r="Q22" s="5" t="n">
        <v>8694715.07</v>
      </c>
      <c r="R22" s="5" t="n">
        <v>8710258.57</v>
      </c>
      <c r="S22" s="5" t="n">
        <v>8720533.380000001</v>
      </c>
      <c r="T22" s="5" t="n">
        <v>8727567.26</v>
      </c>
      <c r="U22" s="5" t="n">
        <v>8732355.779999999</v>
      </c>
      <c r="V22" s="5" t="n">
        <v>8736301.050000001</v>
      </c>
      <c r="W22" s="5" t="n">
        <v>8738529.189999999</v>
      </c>
      <c r="X22" s="5" t="n">
        <v>8740563.220000001</v>
      </c>
      <c r="Y22" s="5" t="n">
        <v>8741873.35</v>
      </c>
      <c r="Z22" s="5" t="n">
        <v>8742663.970000001</v>
      </c>
    </row>
    <row r="23">
      <c r="A23" s="6" t="inlineStr">
        <is>
          <t>2024-10</t>
        </is>
      </c>
      <c r="B23" s="5" t="n">
        <v>1232327.58</v>
      </c>
      <c r="C23" s="5" t="n">
        <v>3444770.57</v>
      </c>
      <c r="D23" s="5" t="n">
        <v>5274037.53</v>
      </c>
      <c r="E23" s="5" t="n">
        <v>6922026.97</v>
      </c>
      <c r="F23" s="5" t="n">
        <v>8128219.16</v>
      </c>
      <c r="G23" s="5" t="n">
        <v>9029588.439999999</v>
      </c>
      <c r="H23" s="5" t="n">
        <v>9710868.91</v>
      </c>
      <c r="I23" s="5" t="n">
        <v>10108847.11</v>
      </c>
      <c r="J23" s="5" t="n">
        <v>10415809</v>
      </c>
      <c r="K23" s="5" t="n">
        <v>10632644.83</v>
      </c>
      <c r="L23" s="5" t="n">
        <v>10794985.39</v>
      </c>
      <c r="M23" s="5" t="n">
        <v>10918510.76</v>
      </c>
      <c r="N23" s="5" t="n">
        <v>11008600.27</v>
      </c>
      <c r="O23" s="5" t="n">
        <v>11064036.43</v>
      </c>
      <c r="P23" s="5" t="n">
        <v>11105972.94</v>
      </c>
      <c r="Q23" s="5" t="n">
        <v>11136839.67</v>
      </c>
      <c r="R23" s="5" t="n">
        <v>11157202.85</v>
      </c>
      <c r="S23" s="5" t="n">
        <v>11170413.67</v>
      </c>
      <c r="T23" s="5" t="n">
        <v>11179623.32</v>
      </c>
      <c r="U23" s="5" t="n">
        <v>11186099.26</v>
      </c>
      <c r="V23" s="5" t="n">
        <v>11189878.21</v>
      </c>
      <c r="W23" s="5" t="n">
        <v>11193572.71</v>
      </c>
      <c r="X23" s="5" t="n">
        <v>11195482.49</v>
      </c>
      <c r="Y23" s="5" t="n">
        <v>11197153.09</v>
      </c>
    </row>
    <row r="24">
      <c r="A24" s="6" t="inlineStr">
        <is>
          <t>2024-11</t>
        </is>
      </c>
      <c r="B24" s="5" t="n">
        <v>1540062.22</v>
      </c>
      <c r="C24" s="5" t="n">
        <v>4206316.18</v>
      </c>
      <c r="D24" s="5" t="n">
        <v>6434494.27</v>
      </c>
      <c r="E24" s="5" t="n">
        <v>8279134.47</v>
      </c>
      <c r="F24" s="5" t="n">
        <v>9723626.699999999</v>
      </c>
      <c r="G24" s="5" t="n">
        <v>10680100.54</v>
      </c>
      <c r="H24" s="5" t="n">
        <v>11448803.01</v>
      </c>
      <c r="I24" s="5" t="n">
        <v>12010845.4</v>
      </c>
      <c r="J24" s="5" t="n">
        <v>12390591.76</v>
      </c>
      <c r="K24" s="5" t="n">
        <v>12676551.74</v>
      </c>
      <c r="L24" s="5" t="n">
        <v>12862818.95</v>
      </c>
      <c r="M24" s="5" t="n">
        <v>13009189.42</v>
      </c>
      <c r="N24" s="5" t="n">
        <v>13111611.58</v>
      </c>
      <c r="O24" s="5" t="n">
        <v>13180806.69</v>
      </c>
      <c r="P24" s="5" t="n">
        <v>13225988.42</v>
      </c>
      <c r="Q24" s="5" t="n">
        <v>13259794.19</v>
      </c>
      <c r="R24" s="5" t="n">
        <v>13283362.37</v>
      </c>
      <c r="S24" s="5" t="n">
        <v>13300113.4</v>
      </c>
      <c r="T24" s="5" t="n">
        <v>13312306.95</v>
      </c>
      <c r="U24" s="5" t="n">
        <v>13319682.67</v>
      </c>
      <c r="V24" s="5" t="n">
        <v>13325922.32</v>
      </c>
      <c r="W24" s="5" t="n">
        <v>13329659.58</v>
      </c>
      <c r="X24" s="5" t="n">
        <v>13332543.82</v>
      </c>
    </row>
    <row r="25">
      <c r="A25" s="6" t="inlineStr">
        <is>
          <t>2024-12</t>
        </is>
      </c>
      <c r="B25" s="5" t="n">
        <v>1209816.3</v>
      </c>
      <c r="C25" s="5" t="n">
        <v>3889593.46</v>
      </c>
      <c r="D25" s="5" t="n">
        <v>6219536.69</v>
      </c>
      <c r="E25" s="5" t="n">
        <v>7767020.85</v>
      </c>
      <c r="F25" s="5" t="n">
        <v>8855296.16</v>
      </c>
      <c r="G25" s="5" t="n">
        <v>9836510.470000001</v>
      </c>
      <c r="H25" s="5" t="n">
        <v>10632729.7</v>
      </c>
      <c r="I25" s="5" t="n">
        <v>11118008.36</v>
      </c>
      <c r="J25" s="5" t="n">
        <v>11507465.47</v>
      </c>
      <c r="K25" s="5" t="n">
        <v>11779955.29</v>
      </c>
      <c r="L25" s="5" t="n">
        <v>11981156.67</v>
      </c>
      <c r="M25" s="5" t="n">
        <v>12106354.87</v>
      </c>
      <c r="N25" s="5" t="n">
        <v>12190186.87</v>
      </c>
      <c r="O25" s="5" t="n">
        <v>12249995.67</v>
      </c>
      <c r="P25" s="5" t="n">
        <v>12289179.34</v>
      </c>
      <c r="Q25" s="5" t="n">
        <v>12318988.83</v>
      </c>
      <c r="R25" s="5" t="n">
        <v>12339571.43</v>
      </c>
      <c r="S25" s="5" t="n">
        <v>12355088.51</v>
      </c>
      <c r="T25" s="5" t="n">
        <v>12364210</v>
      </c>
      <c r="U25" s="5" t="n">
        <v>12372530.41</v>
      </c>
      <c r="V25" s="5" t="n">
        <v>12377453.28</v>
      </c>
      <c r="W25" s="5" t="n">
        <v>12380776.02</v>
      </c>
    </row>
    <row r="26">
      <c r="A26" s="6" t="inlineStr">
        <is>
          <t>2025-01</t>
        </is>
      </c>
      <c r="B26" s="5" t="n">
        <v>1341480.26</v>
      </c>
      <c r="C26" s="5" t="n">
        <v>3697836.35</v>
      </c>
      <c r="D26" s="5" t="n">
        <v>5695655.99</v>
      </c>
      <c r="E26" s="5" t="n">
        <v>7157672.22</v>
      </c>
      <c r="F26" s="5" t="n">
        <v>8536002.050000001</v>
      </c>
      <c r="G26" s="5" t="n">
        <v>9437302</v>
      </c>
      <c r="H26" s="5" t="n">
        <v>10032241.53</v>
      </c>
      <c r="I26" s="5" t="n">
        <v>10507760.63</v>
      </c>
      <c r="J26" s="5" t="n">
        <v>10814082.95</v>
      </c>
      <c r="K26" s="5" t="n">
        <v>11086731.08</v>
      </c>
      <c r="L26" s="5" t="n">
        <v>11262412.43</v>
      </c>
      <c r="M26" s="5" t="n">
        <v>11377653.39</v>
      </c>
      <c r="N26" s="5" t="n">
        <v>11450968.28</v>
      </c>
      <c r="O26" s="5" t="n">
        <v>11501053.62</v>
      </c>
      <c r="P26" s="5" t="n">
        <v>11535395.03</v>
      </c>
      <c r="Q26" s="5" t="n">
        <v>11564456.85</v>
      </c>
      <c r="R26" s="5" t="n">
        <v>11582598.25</v>
      </c>
      <c r="S26" s="5" t="n">
        <v>11594106.21</v>
      </c>
      <c r="T26" s="5" t="n">
        <v>11605710.91</v>
      </c>
      <c r="U26" s="5" t="n">
        <v>11612203.77</v>
      </c>
      <c r="V26" s="5" t="n">
        <v>11616970.14</v>
      </c>
    </row>
    <row r="27">
      <c r="A27" s="6" t="inlineStr">
        <is>
          <t>2025-02</t>
        </is>
      </c>
      <c r="B27" s="5" t="n">
        <v>968867.74</v>
      </c>
      <c r="C27" s="5" t="n">
        <v>2858740.9</v>
      </c>
      <c r="D27" s="5" t="n">
        <v>4288877.53</v>
      </c>
      <c r="E27" s="5" t="n">
        <v>5416163.4</v>
      </c>
      <c r="F27" s="5" t="n">
        <v>6296421.83</v>
      </c>
      <c r="G27" s="5" t="n">
        <v>6854117.62</v>
      </c>
      <c r="H27" s="5" t="n">
        <v>7304649.29</v>
      </c>
      <c r="I27" s="5" t="n">
        <v>7628817.32</v>
      </c>
      <c r="J27" s="5" t="n">
        <v>7862313.96</v>
      </c>
      <c r="K27" s="5" t="n">
        <v>8025038.44</v>
      </c>
      <c r="L27" s="5" t="n">
        <v>8138405.51</v>
      </c>
      <c r="M27" s="5" t="n">
        <v>8223422.2</v>
      </c>
      <c r="N27" s="5" t="n">
        <v>8284201.2</v>
      </c>
      <c r="O27" s="5" t="n">
        <v>8325477.55</v>
      </c>
      <c r="P27" s="5" t="n">
        <v>8353110.73</v>
      </c>
      <c r="Q27" s="5" t="n">
        <v>8371339</v>
      </c>
      <c r="R27" s="5" t="n">
        <v>8383618.17</v>
      </c>
      <c r="S27" s="5" t="n">
        <v>8393953.24</v>
      </c>
      <c r="T27" s="5" t="n">
        <v>8400000.029999999</v>
      </c>
      <c r="U27" s="5" t="n">
        <v>8404399.550000001</v>
      </c>
    </row>
    <row r="28">
      <c r="A28" s="6" t="inlineStr">
        <is>
          <t>2025-03</t>
        </is>
      </c>
      <c r="B28" s="5" t="n">
        <v>765939.62</v>
      </c>
      <c r="C28" s="5" t="n">
        <v>2258334</v>
      </c>
      <c r="D28" s="5" t="n">
        <v>3629024.65</v>
      </c>
      <c r="E28" s="5" t="n">
        <v>4622344.72</v>
      </c>
      <c r="F28" s="5" t="n">
        <v>5329401.58</v>
      </c>
      <c r="G28" s="5" t="n">
        <v>5815922.3</v>
      </c>
      <c r="H28" s="5" t="n">
        <v>6157685.12</v>
      </c>
      <c r="I28" s="5" t="n">
        <v>6434026.58</v>
      </c>
      <c r="J28" s="5" t="n">
        <v>6618311.98</v>
      </c>
      <c r="K28" s="5" t="n">
        <v>6761015.31</v>
      </c>
      <c r="L28" s="5" t="n">
        <v>6850505.79</v>
      </c>
      <c r="M28" s="5" t="n">
        <v>6922250.74</v>
      </c>
      <c r="N28" s="5" t="n">
        <v>6969410.92</v>
      </c>
      <c r="O28" s="5" t="n">
        <v>7005567.77</v>
      </c>
      <c r="P28" s="5" t="n">
        <v>7026257.15</v>
      </c>
      <c r="Q28" s="5" t="n">
        <v>7040782.85</v>
      </c>
      <c r="R28" s="5" t="n">
        <v>7054364.83</v>
      </c>
      <c r="S28" s="5" t="n">
        <v>7061820.88</v>
      </c>
      <c r="T28" s="5" t="n">
        <v>7067364.07</v>
      </c>
    </row>
    <row r="29">
      <c r="A29" s="6" t="inlineStr">
        <is>
          <t>2025-04</t>
        </is>
      </c>
      <c r="B29" s="5" t="n">
        <v>1502019.53</v>
      </c>
      <c r="C29" s="5" t="n">
        <v>4474066.88</v>
      </c>
      <c r="D29" s="5" t="n">
        <v>7134704.25</v>
      </c>
      <c r="E29" s="5" t="n">
        <v>9023032.07</v>
      </c>
      <c r="F29" s="5" t="n">
        <v>10455891.43</v>
      </c>
      <c r="G29" s="5" t="n">
        <v>11543701.26</v>
      </c>
      <c r="H29" s="5" t="n">
        <v>12285942.58</v>
      </c>
      <c r="I29" s="5" t="n">
        <v>12795707.53</v>
      </c>
      <c r="J29" s="5" t="n">
        <v>13148583.17</v>
      </c>
      <c r="K29" s="5" t="n">
        <v>13417952.38</v>
      </c>
      <c r="L29" s="5" t="n">
        <v>13627783.45</v>
      </c>
      <c r="M29" s="5" t="n">
        <v>13764601.99</v>
      </c>
      <c r="N29" s="5" t="n">
        <v>13857561.44</v>
      </c>
      <c r="O29" s="5" t="n">
        <v>13920122.26</v>
      </c>
      <c r="P29" s="5" t="n">
        <v>13960357.53</v>
      </c>
      <c r="Q29" s="5" t="n">
        <v>13995692.5</v>
      </c>
      <c r="R29" s="5" t="n">
        <v>14018129.89</v>
      </c>
      <c r="S29" s="5" t="n">
        <v>14034848.37</v>
      </c>
    </row>
    <row r="30">
      <c r="A30" s="6" t="inlineStr">
        <is>
          <t>2025-05</t>
        </is>
      </c>
      <c r="B30" s="5" t="n">
        <v>1499170.85</v>
      </c>
      <c r="C30" s="5" t="n">
        <v>4400590.66</v>
      </c>
      <c r="D30" s="5" t="n">
        <v>6657773.02</v>
      </c>
      <c r="E30" s="5" t="n">
        <v>8496648.720000001</v>
      </c>
      <c r="F30" s="5" t="n">
        <v>9898333.619999999</v>
      </c>
      <c r="G30" s="5" t="n">
        <v>10976248.2</v>
      </c>
      <c r="H30" s="5" t="n">
        <v>11626586.01</v>
      </c>
      <c r="I30" s="5" t="n">
        <v>12097856.78</v>
      </c>
      <c r="J30" s="5" t="n">
        <v>12507197.4</v>
      </c>
      <c r="K30" s="5" t="n">
        <v>12751387.47</v>
      </c>
      <c r="L30" s="5" t="n">
        <v>12920717.54</v>
      </c>
      <c r="M30" s="5" t="n">
        <v>13037574.61</v>
      </c>
      <c r="N30" s="5" t="n">
        <v>13130738.06</v>
      </c>
      <c r="O30" s="5" t="n">
        <v>13188217.41</v>
      </c>
      <c r="P30" s="5" t="n">
        <v>13238869.24</v>
      </c>
      <c r="Q30" s="5" t="n">
        <v>13270213.02</v>
      </c>
      <c r="R30" s="5" t="n">
        <v>13292133.84</v>
      </c>
    </row>
    <row r="31">
      <c r="A31" s="6" t="inlineStr">
        <is>
          <t>2025-06</t>
        </is>
      </c>
      <c r="B31" s="5" t="n">
        <v>694856.46</v>
      </c>
      <c r="C31" s="5" t="n">
        <v>1926527.73</v>
      </c>
      <c r="D31" s="5" t="n">
        <v>2989104.74</v>
      </c>
      <c r="E31" s="5" t="n">
        <v>3866342.04</v>
      </c>
      <c r="F31" s="5" t="n">
        <v>4503491.95</v>
      </c>
      <c r="G31" s="5" t="n">
        <v>4982518.26</v>
      </c>
      <c r="H31" s="5" t="n">
        <v>5311830.43</v>
      </c>
      <c r="I31" s="5" t="n">
        <v>5531547.59</v>
      </c>
      <c r="J31" s="5" t="n">
        <v>5690129</v>
      </c>
      <c r="K31" s="5" t="n">
        <v>5810100.36</v>
      </c>
      <c r="L31" s="5" t="n">
        <v>5894010.21</v>
      </c>
      <c r="M31" s="5" t="n">
        <v>5954549.35</v>
      </c>
      <c r="N31" s="5" t="n">
        <v>5990562.76</v>
      </c>
      <c r="O31" s="5" t="n">
        <v>6025908.84</v>
      </c>
      <c r="P31" s="5" t="n">
        <v>6045812.71</v>
      </c>
      <c r="Q31" s="5" t="n">
        <v>6058184.17</v>
      </c>
    </row>
    <row r="32">
      <c r="A32" s="6" t="inlineStr">
        <is>
          <t>2025-07</t>
        </is>
      </c>
      <c r="B32" s="5" t="n">
        <v>1844940.71</v>
      </c>
      <c r="C32" s="5" t="n">
        <v>5229477.08</v>
      </c>
      <c r="D32" s="5" t="n">
        <v>7848276.31</v>
      </c>
      <c r="E32" s="5" t="n">
        <v>9846192.1</v>
      </c>
      <c r="F32" s="5" t="n">
        <v>11442166.75</v>
      </c>
      <c r="G32" s="5" t="n">
        <v>12503042.39</v>
      </c>
      <c r="H32" s="5" t="n">
        <v>13279675.54</v>
      </c>
      <c r="I32" s="5" t="n">
        <v>13895061.13</v>
      </c>
      <c r="J32" s="5" t="n">
        <v>14320307.02</v>
      </c>
      <c r="K32" s="5" t="n">
        <v>14599683.19</v>
      </c>
      <c r="L32" s="5" t="n">
        <v>14801515.68</v>
      </c>
      <c r="M32" s="5" t="n">
        <v>14929311.78</v>
      </c>
      <c r="N32" s="5" t="n">
        <v>15050079.25</v>
      </c>
      <c r="O32" s="5" t="n">
        <v>15115314.37</v>
      </c>
      <c r="P32" s="5" t="n">
        <v>15162845.75</v>
      </c>
    </row>
    <row r="33">
      <c r="A33" s="6" t="inlineStr">
        <is>
          <t>2025-08</t>
        </is>
      </c>
      <c r="B33" s="5" t="n">
        <v>735725.05</v>
      </c>
      <c r="C33" s="5" t="n">
        <v>2381942.99</v>
      </c>
      <c r="D33" s="5" t="n">
        <v>3699856.71</v>
      </c>
      <c r="E33" s="5" t="n">
        <v>4788506.62</v>
      </c>
      <c r="F33" s="5" t="n">
        <v>5607227.05</v>
      </c>
      <c r="G33" s="5" t="n">
        <v>6264601.23</v>
      </c>
      <c r="H33" s="5" t="n">
        <v>6737875.89</v>
      </c>
      <c r="I33" s="5" t="n">
        <v>7050612.93</v>
      </c>
      <c r="J33" s="5" t="n">
        <v>7290911.01</v>
      </c>
      <c r="K33" s="5" t="n">
        <v>7429688.59</v>
      </c>
      <c r="L33" s="5" t="n">
        <v>7516875.01</v>
      </c>
      <c r="M33" s="5" t="n">
        <v>7594098.66</v>
      </c>
      <c r="N33" s="5" t="n">
        <v>7640020.48</v>
      </c>
      <c r="O33" s="5" t="n">
        <v>7675806.04</v>
      </c>
    </row>
    <row r="34">
      <c r="A34" s="6" t="inlineStr">
        <is>
          <t>2025-09</t>
        </is>
      </c>
      <c r="B34" s="5" t="n">
        <v>1782522.41</v>
      </c>
      <c r="C34" s="5" t="n">
        <v>5289110.34</v>
      </c>
      <c r="D34" s="5" t="n">
        <v>8348306.31</v>
      </c>
      <c r="E34" s="5" t="n">
        <v>10507468.8</v>
      </c>
      <c r="F34" s="5" t="n">
        <v>12247374.77</v>
      </c>
      <c r="G34" s="5" t="n">
        <v>13489915.22</v>
      </c>
      <c r="H34" s="5" t="n">
        <v>14250276.26</v>
      </c>
      <c r="I34" s="5" t="n">
        <v>15020377.37</v>
      </c>
      <c r="J34" s="5" t="n">
        <v>15419246.16</v>
      </c>
      <c r="K34" s="5" t="n">
        <v>15693527.95</v>
      </c>
      <c r="L34" s="5" t="n">
        <v>15958183.36</v>
      </c>
      <c r="M34" s="5" t="n">
        <v>16101545.4</v>
      </c>
      <c r="N34" s="5" t="n">
        <v>16216673.53</v>
      </c>
    </row>
    <row r="35">
      <c r="A35" s="6" t="inlineStr">
        <is>
          <t>2025-10</t>
        </is>
      </c>
      <c r="B35" s="5" t="n">
        <v>752057.79</v>
      </c>
      <c r="C35" s="5" t="n">
        <v>2197626.85</v>
      </c>
      <c r="D35" s="5" t="n">
        <v>3527019.74</v>
      </c>
      <c r="E35" s="5" t="n">
        <v>4562744.84</v>
      </c>
      <c r="F35" s="5" t="n">
        <v>5316555.74</v>
      </c>
      <c r="G35" s="5" t="n">
        <v>5839461.82</v>
      </c>
      <c r="H35" s="5" t="n">
        <v>6221731.85</v>
      </c>
      <c r="I35" s="5" t="n">
        <v>6489238.15</v>
      </c>
      <c r="J35" s="5" t="n">
        <v>6668281.56</v>
      </c>
      <c r="K35" s="5" t="n">
        <v>6837269.94</v>
      </c>
      <c r="L35" s="5" t="n">
        <v>6935357.48</v>
      </c>
      <c r="M35" s="5" t="n">
        <v>7006830.45</v>
      </c>
    </row>
    <row r="36">
      <c r="A36" s="6" t="inlineStr">
        <is>
          <t>2025-11</t>
        </is>
      </c>
      <c r="B36" s="5" t="n">
        <v>1598873.51</v>
      </c>
      <c r="C36" s="5" t="n">
        <v>5112389.89</v>
      </c>
      <c r="D36" s="5" t="n">
        <v>7495562.86</v>
      </c>
      <c r="E36" s="5" t="n">
        <v>9274751.609999999</v>
      </c>
      <c r="F36" s="5" t="n">
        <v>10755402.96</v>
      </c>
      <c r="G36" s="5" t="n">
        <v>11809797.55</v>
      </c>
      <c r="H36" s="5" t="n">
        <v>12486862.4</v>
      </c>
      <c r="I36" s="5" t="n">
        <v>12887986.45</v>
      </c>
      <c r="J36" s="5" t="n">
        <v>13260033.59</v>
      </c>
      <c r="K36" s="5" t="n">
        <v>13562071.28</v>
      </c>
      <c r="L36" s="5" t="n">
        <v>13755930.74</v>
      </c>
    </row>
    <row r="37">
      <c r="A37" s="6" t="inlineStr">
        <is>
          <t>2025-12</t>
        </is>
      </c>
      <c r="B37" s="5" t="n">
        <v>2428269.43</v>
      </c>
      <c r="C37" s="5" t="n">
        <v>6345818.27</v>
      </c>
      <c r="D37" s="5" t="n">
        <v>10050580.58</v>
      </c>
      <c r="E37" s="5" t="n">
        <v>12379936.02</v>
      </c>
      <c r="F37" s="5" t="n">
        <v>14386290.81</v>
      </c>
      <c r="G37" s="5" t="n">
        <v>15682266.15</v>
      </c>
      <c r="H37" s="5" t="n">
        <v>16517475.46</v>
      </c>
      <c r="I37" s="5" t="n">
        <v>17338281.35</v>
      </c>
      <c r="J37" s="5" t="n">
        <v>17877354.54</v>
      </c>
      <c r="K37" s="5" t="n">
        <v>18229141.76</v>
      </c>
    </row>
    <row r="38">
      <c r="A38" s="6" t="inlineStr">
        <is>
          <t>2026-01</t>
        </is>
      </c>
      <c r="B38" s="5" t="n">
        <v>690435.11</v>
      </c>
      <c r="C38" s="5" t="n">
        <v>2369290.27</v>
      </c>
      <c r="D38" s="5" t="n">
        <v>3655648.48</v>
      </c>
      <c r="E38" s="5" t="n">
        <v>4629980.03</v>
      </c>
      <c r="F38" s="5" t="n">
        <v>5290656.57</v>
      </c>
      <c r="G38" s="5" t="n">
        <v>5707982.26</v>
      </c>
      <c r="H38" s="5" t="n">
        <v>6151348.76</v>
      </c>
      <c r="I38" s="5" t="n">
        <v>6400757.37</v>
      </c>
      <c r="J38" s="5" t="n">
        <v>6580316.78</v>
      </c>
    </row>
    <row r="39">
      <c r="A39" s="6" t="inlineStr">
        <is>
          <t>2026-02</t>
        </is>
      </c>
      <c r="B39" s="5" t="n">
        <v>1525419.92</v>
      </c>
      <c r="C39" s="5" t="n">
        <v>4634296.79</v>
      </c>
      <c r="D39" s="5" t="n">
        <v>6808110.87</v>
      </c>
      <c r="E39" s="5" t="n">
        <v>8604028.619999999</v>
      </c>
      <c r="F39" s="5" t="n">
        <v>9764912.76</v>
      </c>
      <c r="G39" s="5" t="n">
        <v>10866278.92</v>
      </c>
      <c r="H39" s="5" t="n">
        <v>11528666.92</v>
      </c>
      <c r="I39" s="5" t="n">
        <v>12003732.85</v>
      </c>
    </row>
    <row r="40">
      <c r="A40" s="6" t="inlineStr">
        <is>
          <t>2026-03</t>
        </is>
      </c>
      <c r="B40" s="5" t="n">
        <v>1404814.83</v>
      </c>
      <c r="C40" s="5" t="n">
        <v>4225979.62</v>
      </c>
      <c r="D40" s="5" t="n">
        <v>6274492.79</v>
      </c>
      <c r="E40" s="5" t="n">
        <v>7611737.87</v>
      </c>
      <c r="F40" s="5" t="n">
        <v>8921785.33</v>
      </c>
      <c r="G40" s="5" t="n">
        <v>9816836.32</v>
      </c>
      <c r="H40" s="5" t="n">
        <v>10448114.97</v>
      </c>
    </row>
    <row r="41">
      <c r="A41" s="6" t="inlineStr">
        <is>
          <t>2026-04</t>
        </is>
      </c>
      <c r="B41" s="5" t="n">
        <v>1165261.68</v>
      </c>
      <c r="C41" s="5" t="n">
        <v>3767622.97</v>
      </c>
      <c r="D41" s="5" t="n">
        <v>5560068.85</v>
      </c>
      <c r="E41" s="5" t="n">
        <v>7379010.57</v>
      </c>
      <c r="F41" s="5" t="n">
        <v>8425365.85</v>
      </c>
      <c r="G41" s="5" t="n">
        <v>9278098.07</v>
      </c>
    </row>
    <row r="42">
      <c r="A42" s="6" t="inlineStr">
        <is>
          <t>2026-05</t>
        </is>
      </c>
      <c r="B42" s="5" t="n">
        <v>1412176.04</v>
      </c>
      <c r="C42" s="5" t="n">
        <v>3687295.62</v>
      </c>
      <c r="D42" s="5" t="n">
        <v>5862391.29</v>
      </c>
      <c r="E42" s="5" t="n">
        <v>7491739.9</v>
      </c>
      <c r="F42" s="5" t="n">
        <v>8774421.609999999</v>
      </c>
    </row>
    <row r="43">
      <c r="A43" s="6" t="inlineStr">
        <is>
          <t>2026-06</t>
        </is>
      </c>
      <c r="B43" s="5" t="n">
        <v>1633923.76</v>
      </c>
      <c r="C43" s="5" t="n">
        <v>5119142.35</v>
      </c>
      <c r="D43" s="5" t="n">
        <v>7825367.9</v>
      </c>
      <c r="E43" s="5" t="n">
        <v>9963777.5</v>
      </c>
    </row>
    <row r="44">
      <c r="A44" s="6" t="inlineStr">
        <is>
          <t>2026-07</t>
        </is>
      </c>
      <c r="B44" s="5" t="n">
        <v>1325118.36</v>
      </c>
      <c r="C44" s="5" t="n">
        <v>3951165.54</v>
      </c>
      <c r="D44" s="5" t="n">
        <v>6119212.4</v>
      </c>
    </row>
    <row r="45">
      <c r="A45" s="6" t="inlineStr">
        <is>
          <t>2026-08</t>
        </is>
      </c>
      <c r="B45" s="5" t="n">
        <v>1571713.33</v>
      </c>
      <c r="C45" s="5" t="n">
        <v>4630487.18</v>
      </c>
    </row>
    <row r="46">
      <c r="A46" s="6" t="inlineStr">
        <is>
          <t>2026-09</t>
        </is>
      </c>
      <c r="B46" s="5" t="n">
        <v>1210440.39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Incurred</t>
        </is>
      </c>
      <c r="B1" s="3" t="inlineStr">
        <is>
          <t>0-1</t>
        </is>
      </c>
      <c r="C1" s="3" t="inlineStr">
        <is>
          <t>1-2</t>
        </is>
      </c>
      <c r="D1" s="3" t="inlineStr">
        <is>
          <t>2-3</t>
        </is>
      </c>
      <c r="E1" s="3" t="inlineStr">
        <is>
          <t>3-4</t>
        </is>
      </c>
      <c r="F1" s="3" t="inlineStr">
        <is>
          <t>4-5</t>
        </is>
      </c>
      <c r="G1" s="3" t="inlineStr">
        <is>
          <t>5-6</t>
        </is>
      </c>
      <c r="H1" s="3" t="inlineStr">
        <is>
          <t>6-7</t>
        </is>
      </c>
      <c r="I1" s="3" t="inlineStr">
        <is>
          <t>7-8</t>
        </is>
      </c>
      <c r="J1" s="3" t="inlineStr">
        <is>
          <t>8-9</t>
        </is>
      </c>
      <c r="K1" s="3" t="inlineStr">
        <is>
          <t>9-10</t>
        </is>
      </c>
      <c r="L1" s="3" t="inlineStr">
        <is>
          <t>10-11</t>
        </is>
      </c>
      <c r="M1" s="3" t="inlineStr">
        <is>
          <t>11-12</t>
        </is>
      </c>
      <c r="N1" s="3" t="inlineStr">
        <is>
          <t>12-13</t>
        </is>
      </c>
      <c r="O1" s="3" t="inlineStr">
        <is>
          <t>13-14</t>
        </is>
      </c>
      <c r="P1" s="3" t="inlineStr">
        <is>
          <t>14-15</t>
        </is>
      </c>
      <c r="Q1" s="3" t="inlineStr">
        <is>
          <t>15-16</t>
        </is>
      </c>
      <c r="R1" s="3" t="inlineStr">
        <is>
          <t>16-17</t>
        </is>
      </c>
      <c r="S1" s="3" t="inlineStr">
        <is>
          <t>17-18</t>
        </is>
      </c>
      <c r="T1" s="3" t="inlineStr">
        <is>
          <t>18-19</t>
        </is>
      </c>
      <c r="U1" s="3" t="inlineStr">
        <is>
          <t>19-20</t>
        </is>
      </c>
      <c r="V1" s="3" t="inlineStr">
        <is>
          <t>20-21</t>
        </is>
      </c>
      <c r="W1" s="3" t="inlineStr">
        <is>
          <t>21-22</t>
        </is>
      </c>
      <c r="X1" s="3" t="inlineStr">
        <is>
          <t>22-23</t>
        </is>
      </c>
      <c r="Y1" s="3" t="inlineStr">
        <is>
          <t>23-24</t>
        </is>
      </c>
      <c r="Z1" s="3" t="inlineStr">
        <is>
          <t>24-25</t>
        </is>
      </c>
      <c r="AA1" s="3" t="inlineStr">
        <is>
          <t>25-26</t>
        </is>
      </c>
      <c r="AB1" s="3" t="inlineStr">
        <is>
          <t>26-27</t>
        </is>
      </c>
      <c r="AC1" s="3" t="inlineStr">
        <is>
          <t>27-28</t>
        </is>
      </c>
      <c r="AD1" s="3" t="inlineStr">
        <is>
          <t>28-29</t>
        </is>
      </c>
      <c r="AE1" s="3" t="inlineStr">
        <is>
          <t>29-30</t>
        </is>
      </c>
      <c r="AF1" s="3" t="inlineStr">
        <is>
          <t>30-31</t>
        </is>
      </c>
      <c r="AG1" s="3" t="inlineStr">
        <is>
          <t>31-32</t>
        </is>
      </c>
      <c r="AH1" s="3" t="inlineStr">
        <is>
          <t>32-33</t>
        </is>
      </c>
      <c r="AI1" s="3" t="inlineStr">
        <is>
          <t>33-34</t>
        </is>
      </c>
      <c r="AJ1" s="3" t="inlineStr">
        <is>
          <t>34-35</t>
        </is>
      </c>
      <c r="AK1" s="3" t="inlineStr">
        <is>
          <t>35-36</t>
        </is>
      </c>
      <c r="AL1" s="3" t="inlineStr">
        <is>
          <t>36-37</t>
        </is>
      </c>
      <c r="AM1" s="3" t="inlineStr">
        <is>
          <t>37-38</t>
        </is>
      </c>
      <c r="AN1" s="3" t="inlineStr">
        <is>
          <t>38-39</t>
        </is>
      </c>
      <c r="AO1" s="3" t="inlineStr">
        <is>
          <t>39-40</t>
        </is>
      </c>
      <c r="AP1" s="3" t="inlineStr">
        <is>
          <t>40-41</t>
        </is>
      </c>
      <c r="AQ1" s="3" t="inlineStr">
        <is>
          <t>41-42</t>
        </is>
      </c>
      <c r="AR1" s="3" t="inlineStr">
        <is>
          <t>42-43</t>
        </is>
      </c>
      <c r="AS1" s="3" t="inlineStr">
        <is>
          <t>43-44</t>
        </is>
      </c>
    </row>
    <row r="2">
      <c r="A2" s="6" t="inlineStr">
        <is>
          <t>2023-01</t>
        </is>
      </c>
      <c r="B2" s="10">
        <f>IF('LC Triangle'!B2&gt;0,'LC Triangle'!C2/'LC Triangle'!B2,"")</f>
        <v/>
      </c>
      <c r="C2" s="10">
        <f>IF('LC Triangle'!C2&gt;0,'LC Triangle'!D2/'LC Triangle'!C2,"")</f>
        <v/>
      </c>
      <c r="D2" s="10">
        <f>IF('LC Triangle'!D2&gt;0,'LC Triangle'!E2/'LC Triangle'!D2,"")</f>
        <v/>
      </c>
      <c r="E2" s="10">
        <f>IF('LC Triangle'!E2&gt;0,'LC Triangle'!F2/'LC Triangle'!E2,"")</f>
        <v/>
      </c>
      <c r="F2" s="10">
        <f>IF('LC Triangle'!F2&gt;0,'LC Triangle'!G2/'LC Triangle'!F2,"")</f>
        <v/>
      </c>
      <c r="G2" s="10">
        <f>IF('LC Triangle'!G2&gt;0,'LC Triangle'!H2/'LC Triangle'!G2,"")</f>
        <v/>
      </c>
      <c r="H2" s="10">
        <f>IF('LC Triangle'!H2&gt;0,'LC Triangle'!I2/'LC Triangle'!H2,"")</f>
        <v/>
      </c>
      <c r="I2" s="10">
        <f>IF('LC Triangle'!I2&gt;0,'LC Triangle'!J2/'LC Triangle'!I2,"")</f>
        <v/>
      </c>
      <c r="J2" s="10">
        <f>IF('LC Triangle'!J2&gt;0,'LC Triangle'!K2/'LC Triangle'!J2,"")</f>
        <v/>
      </c>
      <c r="K2" s="10">
        <f>IF('LC Triangle'!K2&gt;0,'LC Triangle'!L2/'LC Triangle'!K2,"")</f>
        <v/>
      </c>
      <c r="L2" s="10">
        <f>IF('LC Triangle'!L2&gt;0,'LC Triangle'!M2/'LC Triangle'!L2,"")</f>
        <v/>
      </c>
      <c r="M2" s="10">
        <f>IF('LC Triangle'!M2&gt;0,'LC Triangle'!N2/'LC Triangle'!M2,"")</f>
        <v/>
      </c>
      <c r="N2" s="10">
        <f>IF('LC Triangle'!N2&gt;0,'LC Triangle'!O2/'LC Triangle'!N2,"")</f>
        <v/>
      </c>
      <c r="O2" s="10">
        <f>IF('LC Triangle'!O2&gt;0,'LC Triangle'!P2/'LC Triangle'!O2,"")</f>
        <v/>
      </c>
      <c r="P2" s="10">
        <f>IF('LC Triangle'!P2&gt;0,'LC Triangle'!Q2/'LC Triangle'!P2,"")</f>
        <v/>
      </c>
      <c r="Q2" s="10">
        <f>IF('LC Triangle'!Q2&gt;0,'LC Triangle'!R2/'LC Triangle'!Q2,"")</f>
        <v/>
      </c>
      <c r="R2" s="10">
        <f>IF('LC Triangle'!R2&gt;0,'LC Triangle'!S2/'LC Triangle'!R2,"")</f>
        <v/>
      </c>
      <c r="S2" s="10">
        <f>IF('LC Triangle'!S2&gt;0,'LC Triangle'!T2/'LC Triangle'!S2,"")</f>
        <v/>
      </c>
      <c r="T2" s="10">
        <f>IF('LC Triangle'!T2&gt;0,'LC Triangle'!U2/'LC Triangle'!T2,"")</f>
        <v/>
      </c>
      <c r="U2" s="10">
        <f>IF('LC Triangle'!U2&gt;0,'LC Triangle'!V2/'LC Triangle'!U2,"")</f>
        <v/>
      </c>
      <c r="V2" s="10">
        <f>IF('LC Triangle'!V2&gt;0,'LC Triangle'!W2/'LC Triangle'!V2,"")</f>
        <v/>
      </c>
      <c r="W2" s="10">
        <f>IF('LC Triangle'!W2&gt;0,'LC Triangle'!X2/'LC Triangle'!W2,"")</f>
        <v/>
      </c>
      <c r="X2" s="10">
        <f>IF('LC Triangle'!X2&gt;0,'LC Triangle'!Y2/'LC Triangle'!X2,"")</f>
        <v/>
      </c>
      <c r="Y2" s="10">
        <f>IF('LC Triangle'!Y2&gt;0,'LC Triangle'!Z2/'LC Triangle'!Y2,"")</f>
        <v/>
      </c>
      <c r="Z2" s="10">
        <f>IF('LC Triangle'!Z2&gt;0,'LC Triangle'!AA2/'LC Triangle'!Z2,"")</f>
        <v/>
      </c>
      <c r="AA2" s="10">
        <f>IF('LC Triangle'!AA2&gt;0,'LC Triangle'!AB2/'LC Triangle'!AA2,"")</f>
        <v/>
      </c>
      <c r="AB2" s="10">
        <f>IF('LC Triangle'!AB2&gt;0,'LC Triangle'!AC2/'LC Triangle'!AB2,"")</f>
        <v/>
      </c>
      <c r="AC2" s="10">
        <f>IF('LC Triangle'!AC2&gt;0,'LC Triangle'!AD2/'LC Triangle'!AC2,"")</f>
        <v/>
      </c>
      <c r="AD2" s="10">
        <f>IF('LC Triangle'!AD2&gt;0,'LC Triangle'!AE2/'LC Triangle'!AD2,"")</f>
        <v/>
      </c>
      <c r="AE2" s="10">
        <f>IF('LC Triangle'!AE2&gt;0,'LC Triangle'!AF2/'LC Triangle'!AE2,"")</f>
        <v/>
      </c>
      <c r="AF2" s="10">
        <f>IF('LC Triangle'!AF2&gt;0,'LC Triangle'!AG2/'LC Triangle'!AF2,"")</f>
        <v/>
      </c>
      <c r="AG2" s="10">
        <f>IF('LC Triangle'!AG2&gt;0,'LC Triangle'!AH2/'LC Triangle'!AG2,"")</f>
        <v/>
      </c>
      <c r="AH2" s="10">
        <f>IF('LC Triangle'!AH2&gt;0,'LC Triangle'!AI2/'LC Triangle'!AH2,"")</f>
        <v/>
      </c>
      <c r="AI2" s="10">
        <f>IF('LC Triangle'!AI2&gt;0,'LC Triangle'!AJ2/'LC Triangle'!AI2,"")</f>
        <v/>
      </c>
      <c r="AJ2" s="10">
        <f>IF('LC Triangle'!AJ2&gt;0,'LC Triangle'!AK2/'LC Triangle'!AJ2,"")</f>
        <v/>
      </c>
      <c r="AK2" s="10">
        <f>IF('LC Triangle'!AK2&gt;0,'LC Triangle'!AL2/'LC Triangle'!AK2,"")</f>
        <v/>
      </c>
      <c r="AL2" s="10">
        <f>IF('LC Triangle'!AL2&gt;0,'LC Triangle'!AM2/'LC Triangle'!AL2,"")</f>
        <v/>
      </c>
      <c r="AM2" s="10">
        <f>IF('LC Triangle'!AM2&gt;0,'LC Triangle'!AN2/'LC Triangle'!AM2,"")</f>
        <v/>
      </c>
      <c r="AN2" s="10">
        <f>IF('LC Triangle'!AN2&gt;0,'LC Triangle'!AO2/'LC Triangle'!AN2,"")</f>
        <v/>
      </c>
      <c r="AO2" s="10">
        <f>IF('LC Triangle'!AO2&gt;0,'LC Triangle'!AP2/'LC Triangle'!AO2,"")</f>
        <v/>
      </c>
      <c r="AP2" s="11">
        <f>IF('LC Triangle'!AP2&gt;0,'LC Triangle'!AQ2/'LC Triangle'!AP2,"")</f>
        <v/>
      </c>
      <c r="AQ2" s="11">
        <f>IF('LC Triangle'!AQ2&gt;0,'LC Triangle'!AR2/'LC Triangle'!AQ2,"")</f>
        <v/>
      </c>
      <c r="AR2" s="10">
        <f>IF('LC Triangle'!AR2&gt;0,'LC Triangle'!AS2/'LC Triangle'!AR2,"")</f>
        <v/>
      </c>
      <c r="AS2" s="10">
        <f>IF('LC Triangle'!AS2&gt;0,'LC Triangle'!AT2/'LC Triangle'!AS2,"")</f>
        <v/>
      </c>
    </row>
    <row r="3">
      <c r="A3" s="6" t="inlineStr">
        <is>
          <t>2023-02</t>
        </is>
      </c>
      <c r="B3" s="10">
        <f>IF('LC Triangle'!B3&gt;0,'LC Triangle'!C3/'LC Triangle'!B3,"")</f>
        <v/>
      </c>
      <c r="C3" s="10">
        <f>IF('LC Triangle'!C3&gt;0,'LC Triangle'!D3/'LC Triangle'!C3,"")</f>
        <v/>
      </c>
      <c r="D3" s="10">
        <f>IF('LC Triangle'!D3&gt;0,'LC Triangle'!E3/'LC Triangle'!D3,"")</f>
        <v/>
      </c>
      <c r="E3" s="10">
        <f>IF('LC Triangle'!E3&gt;0,'LC Triangle'!F3/'LC Triangle'!E3,"")</f>
        <v/>
      </c>
      <c r="F3" s="10">
        <f>IF('LC Triangle'!F3&gt;0,'LC Triangle'!G3/'LC Triangle'!F3,"")</f>
        <v/>
      </c>
      <c r="G3" s="10">
        <f>IF('LC Triangle'!G3&gt;0,'LC Triangle'!H3/'LC Triangle'!G3,"")</f>
        <v/>
      </c>
      <c r="H3" s="10">
        <f>IF('LC Triangle'!H3&gt;0,'LC Triangle'!I3/'LC Triangle'!H3,"")</f>
        <v/>
      </c>
      <c r="I3" s="10">
        <f>IF('LC Triangle'!I3&gt;0,'LC Triangle'!J3/'LC Triangle'!I3,"")</f>
        <v/>
      </c>
      <c r="J3" s="10">
        <f>IF('LC Triangle'!J3&gt;0,'LC Triangle'!K3/'LC Triangle'!J3,"")</f>
        <v/>
      </c>
      <c r="K3" s="10">
        <f>IF('LC Triangle'!K3&gt;0,'LC Triangle'!L3/'LC Triangle'!K3,"")</f>
        <v/>
      </c>
      <c r="L3" s="10">
        <f>IF('LC Triangle'!L3&gt;0,'LC Triangle'!M3/'LC Triangle'!L3,"")</f>
        <v/>
      </c>
      <c r="M3" s="10">
        <f>IF('LC Triangle'!M3&gt;0,'LC Triangle'!N3/'LC Triangle'!M3,"")</f>
        <v/>
      </c>
      <c r="N3" s="10">
        <f>IF('LC Triangle'!N3&gt;0,'LC Triangle'!O3/'LC Triangle'!N3,"")</f>
        <v/>
      </c>
      <c r="O3" s="10">
        <f>IF('LC Triangle'!O3&gt;0,'LC Triangle'!P3/'LC Triangle'!O3,"")</f>
        <v/>
      </c>
      <c r="P3" s="10">
        <f>IF('LC Triangle'!P3&gt;0,'LC Triangle'!Q3/'LC Triangle'!P3,"")</f>
        <v/>
      </c>
      <c r="Q3" s="10">
        <f>IF('LC Triangle'!Q3&gt;0,'LC Triangle'!R3/'LC Triangle'!Q3,"")</f>
        <v/>
      </c>
      <c r="R3" s="10">
        <f>IF('LC Triangle'!R3&gt;0,'LC Triangle'!S3/'LC Triangle'!R3,"")</f>
        <v/>
      </c>
      <c r="S3" s="10">
        <f>IF('LC Triangle'!S3&gt;0,'LC Triangle'!T3/'LC Triangle'!S3,"")</f>
        <v/>
      </c>
      <c r="T3" s="10">
        <f>IF('LC Triangle'!T3&gt;0,'LC Triangle'!U3/'LC Triangle'!T3,"")</f>
        <v/>
      </c>
      <c r="U3" s="10">
        <f>IF('LC Triangle'!U3&gt;0,'LC Triangle'!V3/'LC Triangle'!U3,"")</f>
        <v/>
      </c>
      <c r="V3" s="10">
        <f>IF('LC Triangle'!V3&gt;0,'LC Triangle'!W3/'LC Triangle'!V3,"")</f>
        <v/>
      </c>
      <c r="W3" s="10">
        <f>IF('LC Triangle'!W3&gt;0,'LC Triangle'!X3/'LC Triangle'!W3,"")</f>
        <v/>
      </c>
      <c r="X3" s="10">
        <f>IF('LC Triangle'!X3&gt;0,'LC Triangle'!Y3/'LC Triangle'!X3,"")</f>
        <v/>
      </c>
      <c r="Y3" s="10">
        <f>IF('LC Triangle'!Y3&gt;0,'LC Triangle'!Z3/'LC Triangle'!Y3,"")</f>
        <v/>
      </c>
      <c r="Z3" s="10">
        <f>IF('LC Triangle'!Z3&gt;0,'LC Triangle'!AA3/'LC Triangle'!Z3,"")</f>
        <v/>
      </c>
      <c r="AA3" s="10">
        <f>IF('LC Triangle'!AA3&gt;0,'LC Triangle'!AB3/'LC Triangle'!AA3,"")</f>
        <v/>
      </c>
      <c r="AB3" s="10">
        <f>IF('LC Triangle'!AB3&gt;0,'LC Triangle'!AC3/'LC Triangle'!AB3,"")</f>
        <v/>
      </c>
      <c r="AC3" s="10">
        <f>IF('LC Triangle'!AC3&gt;0,'LC Triangle'!AD3/'LC Triangle'!AC3,"")</f>
        <v/>
      </c>
      <c r="AD3" s="10">
        <f>IF('LC Triangle'!AD3&gt;0,'LC Triangle'!AE3/'LC Triangle'!AD3,"")</f>
        <v/>
      </c>
      <c r="AE3" s="10">
        <f>IF('LC Triangle'!AE3&gt;0,'LC Triangle'!AF3/'LC Triangle'!AE3,"")</f>
        <v/>
      </c>
      <c r="AF3" s="10">
        <f>IF('LC Triangle'!AF3&gt;0,'LC Triangle'!AG3/'LC Triangle'!AF3,"")</f>
        <v/>
      </c>
      <c r="AG3" s="10">
        <f>IF('LC Triangle'!AG3&gt;0,'LC Triangle'!AH3/'LC Triangle'!AG3,"")</f>
        <v/>
      </c>
      <c r="AH3" s="10">
        <f>IF('LC Triangle'!AH3&gt;0,'LC Triangle'!AI3/'LC Triangle'!AH3,"")</f>
        <v/>
      </c>
      <c r="AI3" s="10">
        <f>IF('LC Triangle'!AI3&gt;0,'LC Triangle'!AJ3/'LC Triangle'!AI3,"")</f>
        <v/>
      </c>
      <c r="AJ3" s="10">
        <f>IF('LC Triangle'!AJ3&gt;0,'LC Triangle'!AK3/'LC Triangle'!AJ3,"")</f>
        <v/>
      </c>
      <c r="AK3" s="10">
        <f>IF('LC Triangle'!AK3&gt;0,'LC Triangle'!AL3/'LC Triangle'!AK3,"")</f>
        <v/>
      </c>
      <c r="AL3" s="10">
        <f>IF('LC Triangle'!AL3&gt;0,'LC Triangle'!AM3/'LC Triangle'!AL3,"")</f>
        <v/>
      </c>
      <c r="AM3" s="10">
        <f>IF('LC Triangle'!AM3&gt;0,'LC Triangle'!AN3/'LC Triangle'!AM3,"")</f>
        <v/>
      </c>
      <c r="AN3" s="10">
        <f>IF('LC Triangle'!AN3&gt;0,'LC Triangle'!AO3/'LC Triangle'!AN3,"")</f>
        <v/>
      </c>
      <c r="AO3" s="11">
        <f>IF('LC Triangle'!AO3&gt;0,'LC Triangle'!AP3/'LC Triangle'!AO3,"")</f>
        <v/>
      </c>
      <c r="AP3" s="11">
        <f>IF('LC Triangle'!AP3&gt;0,'LC Triangle'!AQ3/'LC Triangle'!AP3,"")</f>
        <v/>
      </c>
      <c r="AQ3" s="10">
        <f>IF('LC Triangle'!AQ3&gt;0,'LC Triangle'!AR3/'LC Triangle'!AQ3,"")</f>
        <v/>
      </c>
      <c r="AR3" s="10">
        <f>IF('LC Triangle'!AR3&gt;0,'LC Triangle'!AS3/'LC Triangle'!AR3,"")</f>
        <v/>
      </c>
    </row>
    <row r="4">
      <c r="A4" s="6" t="inlineStr">
        <is>
          <t>2023-03</t>
        </is>
      </c>
      <c r="B4" s="10">
        <f>IF('LC Triangle'!B4&gt;0,'LC Triangle'!C4/'LC Triangle'!B4,"")</f>
        <v/>
      </c>
      <c r="C4" s="10">
        <f>IF('LC Triangle'!C4&gt;0,'LC Triangle'!D4/'LC Triangle'!C4,"")</f>
        <v/>
      </c>
      <c r="D4" s="10">
        <f>IF('LC Triangle'!D4&gt;0,'LC Triangle'!E4/'LC Triangle'!D4,"")</f>
        <v/>
      </c>
      <c r="E4" s="10">
        <f>IF('LC Triangle'!E4&gt;0,'LC Triangle'!F4/'LC Triangle'!E4,"")</f>
        <v/>
      </c>
      <c r="F4" s="10">
        <f>IF('LC Triangle'!F4&gt;0,'LC Triangle'!G4/'LC Triangle'!F4,"")</f>
        <v/>
      </c>
      <c r="G4" s="10">
        <f>IF('LC Triangle'!G4&gt;0,'LC Triangle'!H4/'LC Triangle'!G4,"")</f>
        <v/>
      </c>
      <c r="H4" s="10">
        <f>IF('LC Triangle'!H4&gt;0,'LC Triangle'!I4/'LC Triangle'!H4,"")</f>
        <v/>
      </c>
      <c r="I4" s="10">
        <f>IF('LC Triangle'!I4&gt;0,'LC Triangle'!J4/'LC Triangle'!I4,"")</f>
        <v/>
      </c>
      <c r="J4" s="10">
        <f>IF('LC Triangle'!J4&gt;0,'LC Triangle'!K4/'LC Triangle'!J4,"")</f>
        <v/>
      </c>
      <c r="K4" s="10">
        <f>IF('LC Triangle'!K4&gt;0,'LC Triangle'!L4/'LC Triangle'!K4,"")</f>
        <v/>
      </c>
      <c r="L4" s="10">
        <f>IF('LC Triangle'!L4&gt;0,'LC Triangle'!M4/'LC Triangle'!L4,"")</f>
        <v/>
      </c>
      <c r="M4" s="10">
        <f>IF('LC Triangle'!M4&gt;0,'LC Triangle'!N4/'LC Triangle'!M4,"")</f>
        <v/>
      </c>
      <c r="N4" s="10">
        <f>IF('LC Triangle'!N4&gt;0,'LC Triangle'!O4/'LC Triangle'!N4,"")</f>
        <v/>
      </c>
      <c r="O4" s="10">
        <f>IF('LC Triangle'!O4&gt;0,'LC Triangle'!P4/'LC Triangle'!O4,"")</f>
        <v/>
      </c>
      <c r="P4" s="10">
        <f>IF('LC Triangle'!P4&gt;0,'LC Triangle'!Q4/'LC Triangle'!P4,"")</f>
        <v/>
      </c>
      <c r="Q4" s="10">
        <f>IF('LC Triangle'!Q4&gt;0,'LC Triangle'!R4/'LC Triangle'!Q4,"")</f>
        <v/>
      </c>
      <c r="R4" s="10">
        <f>IF('LC Triangle'!R4&gt;0,'LC Triangle'!S4/'LC Triangle'!R4,"")</f>
        <v/>
      </c>
      <c r="S4" s="10">
        <f>IF('LC Triangle'!S4&gt;0,'LC Triangle'!T4/'LC Triangle'!S4,"")</f>
        <v/>
      </c>
      <c r="T4" s="10">
        <f>IF('LC Triangle'!T4&gt;0,'LC Triangle'!U4/'LC Triangle'!T4,"")</f>
        <v/>
      </c>
      <c r="U4" s="10">
        <f>IF('LC Triangle'!U4&gt;0,'LC Triangle'!V4/'LC Triangle'!U4,"")</f>
        <v/>
      </c>
      <c r="V4" s="10">
        <f>IF('LC Triangle'!V4&gt;0,'LC Triangle'!W4/'LC Triangle'!V4,"")</f>
        <v/>
      </c>
      <c r="W4" s="10">
        <f>IF('LC Triangle'!W4&gt;0,'LC Triangle'!X4/'LC Triangle'!W4,"")</f>
        <v/>
      </c>
      <c r="X4" s="10">
        <f>IF('LC Triangle'!X4&gt;0,'LC Triangle'!Y4/'LC Triangle'!X4,"")</f>
        <v/>
      </c>
      <c r="Y4" s="10">
        <f>IF('LC Triangle'!Y4&gt;0,'LC Triangle'!Z4/'LC Triangle'!Y4,"")</f>
        <v/>
      </c>
      <c r="Z4" s="10">
        <f>IF('LC Triangle'!Z4&gt;0,'LC Triangle'!AA4/'LC Triangle'!Z4,"")</f>
        <v/>
      </c>
      <c r="AA4" s="10">
        <f>IF('LC Triangle'!AA4&gt;0,'LC Triangle'!AB4/'LC Triangle'!AA4,"")</f>
        <v/>
      </c>
      <c r="AB4" s="10">
        <f>IF('LC Triangle'!AB4&gt;0,'LC Triangle'!AC4/'LC Triangle'!AB4,"")</f>
        <v/>
      </c>
      <c r="AC4" s="10">
        <f>IF('LC Triangle'!AC4&gt;0,'LC Triangle'!AD4/'LC Triangle'!AC4,"")</f>
        <v/>
      </c>
      <c r="AD4" s="10">
        <f>IF('LC Triangle'!AD4&gt;0,'LC Triangle'!AE4/'LC Triangle'!AD4,"")</f>
        <v/>
      </c>
      <c r="AE4" s="10">
        <f>IF('LC Triangle'!AE4&gt;0,'LC Triangle'!AF4/'LC Triangle'!AE4,"")</f>
        <v/>
      </c>
      <c r="AF4" s="10">
        <f>IF('LC Triangle'!AF4&gt;0,'LC Triangle'!AG4/'LC Triangle'!AF4,"")</f>
        <v/>
      </c>
      <c r="AG4" s="10">
        <f>IF('LC Triangle'!AG4&gt;0,'LC Triangle'!AH4/'LC Triangle'!AG4,"")</f>
        <v/>
      </c>
      <c r="AH4" s="10">
        <f>IF('LC Triangle'!AH4&gt;0,'LC Triangle'!AI4/'LC Triangle'!AH4,"")</f>
        <v/>
      </c>
      <c r="AI4" s="10">
        <f>IF('LC Triangle'!AI4&gt;0,'LC Triangle'!AJ4/'LC Triangle'!AI4,"")</f>
        <v/>
      </c>
      <c r="AJ4" s="10">
        <f>IF('LC Triangle'!AJ4&gt;0,'LC Triangle'!AK4/'LC Triangle'!AJ4,"")</f>
        <v/>
      </c>
      <c r="AK4" s="10">
        <f>IF('LC Triangle'!AK4&gt;0,'LC Triangle'!AL4/'LC Triangle'!AK4,"")</f>
        <v/>
      </c>
      <c r="AL4" s="10">
        <f>IF('LC Triangle'!AL4&gt;0,'LC Triangle'!AM4/'LC Triangle'!AL4,"")</f>
        <v/>
      </c>
      <c r="AM4" s="10">
        <f>IF('LC Triangle'!AM4&gt;0,'LC Triangle'!AN4/'LC Triangle'!AM4,"")</f>
        <v/>
      </c>
      <c r="AN4" s="11">
        <f>IF('LC Triangle'!AN4&gt;0,'LC Triangle'!AO4/'LC Triangle'!AN4,"")</f>
        <v/>
      </c>
      <c r="AO4" s="11">
        <f>IF('LC Triangle'!AO4&gt;0,'LC Triangle'!AP4/'LC Triangle'!AO4,"")</f>
        <v/>
      </c>
      <c r="AP4" s="10">
        <f>IF('LC Triangle'!AP4&gt;0,'LC Triangle'!AQ4/'LC Triangle'!AP4,"")</f>
        <v/>
      </c>
      <c r="AQ4" s="10">
        <f>IF('LC Triangle'!AQ4&gt;0,'LC Triangle'!AR4/'LC Triangle'!AQ4,"")</f>
        <v/>
      </c>
    </row>
    <row r="5">
      <c r="A5" s="6" t="inlineStr">
        <is>
          <t>2023-04</t>
        </is>
      </c>
      <c r="B5" s="10">
        <f>IF('LC Triangle'!B5&gt;0,'LC Triangle'!C5/'LC Triangle'!B5,"")</f>
        <v/>
      </c>
      <c r="C5" s="10">
        <f>IF('LC Triangle'!C5&gt;0,'LC Triangle'!D5/'LC Triangle'!C5,"")</f>
        <v/>
      </c>
      <c r="D5" s="10">
        <f>IF('LC Triangle'!D5&gt;0,'LC Triangle'!E5/'LC Triangle'!D5,"")</f>
        <v/>
      </c>
      <c r="E5" s="10">
        <f>IF('LC Triangle'!E5&gt;0,'LC Triangle'!F5/'LC Triangle'!E5,"")</f>
        <v/>
      </c>
      <c r="F5" s="10">
        <f>IF('LC Triangle'!F5&gt;0,'LC Triangle'!G5/'LC Triangle'!F5,"")</f>
        <v/>
      </c>
      <c r="G5" s="10">
        <f>IF('LC Triangle'!G5&gt;0,'LC Triangle'!H5/'LC Triangle'!G5,"")</f>
        <v/>
      </c>
      <c r="H5" s="10">
        <f>IF('LC Triangle'!H5&gt;0,'LC Triangle'!I5/'LC Triangle'!H5,"")</f>
        <v/>
      </c>
      <c r="I5" s="10">
        <f>IF('LC Triangle'!I5&gt;0,'LC Triangle'!J5/'LC Triangle'!I5,"")</f>
        <v/>
      </c>
      <c r="J5" s="10">
        <f>IF('LC Triangle'!J5&gt;0,'LC Triangle'!K5/'LC Triangle'!J5,"")</f>
        <v/>
      </c>
      <c r="K5" s="10">
        <f>IF('LC Triangle'!K5&gt;0,'LC Triangle'!L5/'LC Triangle'!K5,"")</f>
        <v/>
      </c>
      <c r="L5" s="10">
        <f>IF('LC Triangle'!L5&gt;0,'LC Triangle'!M5/'LC Triangle'!L5,"")</f>
        <v/>
      </c>
      <c r="M5" s="10">
        <f>IF('LC Triangle'!M5&gt;0,'LC Triangle'!N5/'LC Triangle'!M5,"")</f>
        <v/>
      </c>
      <c r="N5" s="10">
        <f>IF('LC Triangle'!N5&gt;0,'LC Triangle'!O5/'LC Triangle'!N5,"")</f>
        <v/>
      </c>
      <c r="O5" s="10">
        <f>IF('LC Triangle'!O5&gt;0,'LC Triangle'!P5/'LC Triangle'!O5,"")</f>
        <v/>
      </c>
      <c r="P5" s="10">
        <f>IF('LC Triangle'!P5&gt;0,'LC Triangle'!Q5/'LC Triangle'!P5,"")</f>
        <v/>
      </c>
      <c r="Q5" s="10">
        <f>IF('LC Triangle'!Q5&gt;0,'LC Triangle'!R5/'LC Triangle'!Q5,"")</f>
        <v/>
      </c>
      <c r="R5" s="10">
        <f>IF('LC Triangle'!R5&gt;0,'LC Triangle'!S5/'LC Triangle'!R5,"")</f>
        <v/>
      </c>
      <c r="S5" s="10">
        <f>IF('LC Triangle'!S5&gt;0,'LC Triangle'!T5/'LC Triangle'!S5,"")</f>
        <v/>
      </c>
      <c r="T5" s="10">
        <f>IF('LC Triangle'!T5&gt;0,'LC Triangle'!U5/'LC Triangle'!T5,"")</f>
        <v/>
      </c>
      <c r="U5" s="10">
        <f>IF('LC Triangle'!U5&gt;0,'LC Triangle'!V5/'LC Triangle'!U5,"")</f>
        <v/>
      </c>
      <c r="V5" s="10">
        <f>IF('LC Triangle'!V5&gt;0,'LC Triangle'!W5/'LC Triangle'!V5,"")</f>
        <v/>
      </c>
      <c r="W5" s="10">
        <f>IF('LC Triangle'!W5&gt;0,'LC Triangle'!X5/'LC Triangle'!W5,"")</f>
        <v/>
      </c>
      <c r="X5" s="10">
        <f>IF('LC Triangle'!X5&gt;0,'LC Triangle'!Y5/'LC Triangle'!X5,"")</f>
        <v/>
      </c>
      <c r="Y5" s="10">
        <f>IF('LC Triangle'!Y5&gt;0,'LC Triangle'!Z5/'LC Triangle'!Y5,"")</f>
        <v/>
      </c>
      <c r="Z5" s="10">
        <f>IF('LC Triangle'!Z5&gt;0,'LC Triangle'!AA5/'LC Triangle'!Z5,"")</f>
        <v/>
      </c>
      <c r="AA5" s="10">
        <f>IF('LC Triangle'!AA5&gt;0,'LC Triangle'!AB5/'LC Triangle'!AA5,"")</f>
        <v/>
      </c>
      <c r="AB5" s="10">
        <f>IF('LC Triangle'!AB5&gt;0,'LC Triangle'!AC5/'LC Triangle'!AB5,"")</f>
        <v/>
      </c>
      <c r="AC5" s="10">
        <f>IF('LC Triangle'!AC5&gt;0,'LC Triangle'!AD5/'LC Triangle'!AC5,"")</f>
        <v/>
      </c>
      <c r="AD5" s="10">
        <f>IF('LC Triangle'!AD5&gt;0,'LC Triangle'!AE5/'LC Triangle'!AD5,"")</f>
        <v/>
      </c>
      <c r="AE5" s="10">
        <f>IF('LC Triangle'!AE5&gt;0,'LC Triangle'!AF5/'LC Triangle'!AE5,"")</f>
        <v/>
      </c>
      <c r="AF5" s="10">
        <f>IF('LC Triangle'!AF5&gt;0,'LC Triangle'!AG5/'LC Triangle'!AF5,"")</f>
        <v/>
      </c>
      <c r="AG5" s="10">
        <f>IF('LC Triangle'!AG5&gt;0,'LC Triangle'!AH5/'LC Triangle'!AG5,"")</f>
        <v/>
      </c>
      <c r="AH5" s="10">
        <f>IF('LC Triangle'!AH5&gt;0,'LC Triangle'!AI5/'LC Triangle'!AH5,"")</f>
        <v/>
      </c>
      <c r="AI5" s="10">
        <f>IF('LC Triangle'!AI5&gt;0,'LC Triangle'!AJ5/'LC Triangle'!AI5,"")</f>
        <v/>
      </c>
      <c r="AJ5" s="10">
        <f>IF('LC Triangle'!AJ5&gt;0,'LC Triangle'!AK5/'LC Triangle'!AJ5,"")</f>
        <v/>
      </c>
      <c r="AK5" s="10">
        <f>IF('LC Triangle'!AK5&gt;0,'LC Triangle'!AL5/'LC Triangle'!AK5,"")</f>
        <v/>
      </c>
      <c r="AL5" s="10">
        <f>IF('LC Triangle'!AL5&gt;0,'LC Triangle'!AM5/'LC Triangle'!AL5,"")</f>
        <v/>
      </c>
      <c r="AM5" s="11">
        <f>IF('LC Triangle'!AM5&gt;0,'LC Triangle'!AN5/'LC Triangle'!AM5,"")</f>
        <v/>
      </c>
      <c r="AN5" s="11">
        <f>IF('LC Triangle'!AN5&gt;0,'LC Triangle'!AO5/'LC Triangle'!AN5,"")</f>
        <v/>
      </c>
      <c r="AO5" s="10">
        <f>IF('LC Triangle'!AO5&gt;0,'LC Triangle'!AP5/'LC Triangle'!AO5,"")</f>
        <v/>
      </c>
      <c r="AP5" s="10">
        <f>IF('LC Triangle'!AP5&gt;0,'LC Triangle'!AQ5/'LC Triangle'!AP5,"")</f>
        <v/>
      </c>
    </row>
    <row r="6">
      <c r="A6" s="6" t="inlineStr">
        <is>
          <t>2023-05</t>
        </is>
      </c>
      <c r="B6" s="10">
        <f>IF('LC Triangle'!B6&gt;0,'LC Triangle'!C6/'LC Triangle'!B6,"")</f>
        <v/>
      </c>
      <c r="C6" s="10">
        <f>IF('LC Triangle'!C6&gt;0,'LC Triangle'!D6/'LC Triangle'!C6,"")</f>
        <v/>
      </c>
      <c r="D6" s="10">
        <f>IF('LC Triangle'!D6&gt;0,'LC Triangle'!E6/'LC Triangle'!D6,"")</f>
        <v/>
      </c>
      <c r="E6" s="10">
        <f>IF('LC Triangle'!E6&gt;0,'LC Triangle'!F6/'LC Triangle'!E6,"")</f>
        <v/>
      </c>
      <c r="F6" s="10">
        <f>IF('LC Triangle'!F6&gt;0,'LC Triangle'!G6/'LC Triangle'!F6,"")</f>
        <v/>
      </c>
      <c r="G6" s="10">
        <f>IF('LC Triangle'!G6&gt;0,'LC Triangle'!H6/'LC Triangle'!G6,"")</f>
        <v/>
      </c>
      <c r="H6" s="10">
        <f>IF('LC Triangle'!H6&gt;0,'LC Triangle'!I6/'LC Triangle'!H6,"")</f>
        <v/>
      </c>
      <c r="I6" s="10">
        <f>IF('LC Triangle'!I6&gt;0,'LC Triangle'!J6/'LC Triangle'!I6,"")</f>
        <v/>
      </c>
      <c r="J6" s="10">
        <f>IF('LC Triangle'!J6&gt;0,'LC Triangle'!K6/'LC Triangle'!J6,"")</f>
        <v/>
      </c>
      <c r="K6" s="10">
        <f>IF('LC Triangle'!K6&gt;0,'LC Triangle'!L6/'LC Triangle'!K6,"")</f>
        <v/>
      </c>
      <c r="L6" s="10">
        <f>IF('LC Triangle'!L6&gt;0,'LC Triangle'!M6/'LC Triangle'!L6,"")</f>
        <v/>
      </c>
      <c r="M6" s="10">
        <f>IF('LC Triangle'!M6&gt;0,'LC Triangle'!N6/'LC Triangle'!M6,"")</f>
        <v/>
      </c>
      <c r="N6" s="10">
        <f>IF('LC Triangle'!N6&gt;0,'LC Triangle'!O6/'LC Triangle'!N6,"")</f>
        <v/>
      </c>
      <c r="O6" s="10">
        <f>IF('LC Triangle'!O6&gt;0,'LC Triangle'!P6/'LC Triangle'!O6,"")</f>
        <v/>
      </c>
      <c r="P6" s="10">
        <f>IF('LC Triangle'!P6&gt;0,'LC Triangle'!Q6/'LC Triangle'!P6,"")</f>
        <v/>
      </c>
      <c r="Q6" s="10">
        <f>IF('LC Triangle'!Q6&gt;0,'LC Triangle'!R6/'LC Triangle'!Q6,"")</f>
        <v/>
      </c>
      <c r="R6" s="10">
        <f>IF('LC Triangle'!R6&gt;0,'LC Triangle'!S6/'LC Triangle'!R6,"")</f>
        <v/>
      </c>
      <c r="S6" s="10">
        <f>IF('LC Triangle'!S6&gt;0,'LC Triangle'!T6/'LC Triangle'!S6,"")</f>
        <v/>
      </c>
      <c r="T6" s="10">
        <f>IF('LC Triangle'!T6&gt;0,'LC Triangle'!U6/'LC Triangle'!T6,"")</f>
        <v/>
      </c>
      <c r="U6" s="10">
        <f>IF('LC Triangle'!U6&gt;0,'LC Triangle'!V6/'LC Triangle'!U6,"")</f>
        <v/>
      </c>
      <c r="V6" s="10">
        <f>IF('LC Triangle'!V6&gt;0,'LC Triangle'!W6/'LC Triangle'!V6,"")</f>
        <v/>
      </c>
      <c r="W6" s="10">
        <f>IF('LC Triangle'!W6&gt;0,'LC Triangle'!X6/'LC Triangle'!W6,"")</f>
        <v/>
      </c>
      <c r="X6" s="10">
        <f>IF('LC Triangle'!X6&gt;0,'LC Triangle'!Y6/'LC Triangle'!X6,"")</f>
        <v/>
      </c>
      <c r="Y6" s="10">
        <f>IF('LC Triangle'!Y6&gt;0,'LC Triangle'!Z6/'LC Triangle'!Y6,"")</f>
        <v/>
      </c>
      <c r="Z6" s="10">
        <f>IF('LC Triangle'!Z6&gt;0,'LC Triangle'!AA6/'LC Triangle'!Z6,"")</f>
        <v/>
      </c>
      <c r="AA6" s="10">
        <f>IF('LC Triangle'!AA6&gt;0,'LC Triangle'!AB6/'LC Triangle'!AA6,"")</f>
        <v/>
      </c>
      <c r="AB6" s="10">
        <f>IF('LC Triangle'!AB6&gt;0,'LC Triangle'!AC6/'LC Triangle'!AB6,"")</f>
        <v/>
      </c>
      <c r="AC6" s="10">
        <f>IF('LC Triangle'!AC6&gt;0,'LC Triangle'!AD6/'LC Triangle'!AC6,"")</f>
        <v/>
      </c>
      <c r="AD6" s="10">
        <f>IF('LC Triangle'!AD6&gt;0,'LC Triangle'!AE6/'LC Triangle'!AD6,"")</f>
        <v/>
      </c>
      <c r="AE6" s="10">
        <f>IF('LC Triangle'!AE6&gt;0,'LC Triangle'!AF6/'LC Triangle'!AE6,"")</f>
        <v/>
      </c>
      <c r="AF6" s="10">
        <f>IF('LC Triangle'!AF6&gt;0,'LC Triangle'!AG6/'LC Triangle'!AF6,"")</f>
        <v/>
      </c>
      <c r="AG6" s="10">
        <f>IF('LC Triangle'!AG6&gt;0,'LC Triangle'!AH6/'LC Triangle'!AG6,"")</f>
        <v/>
      </c>
      <c r="AH6" s="10">
        <f>IF('LC Triangle'!AH6&gt;0,'LC Triangle'!AI6/'LC Triangle'!AH6,"")</f>
        <v/>
      </c>
      <c r="AI6" s="10">
        <f>IF('LC Triangle'!AI6&gt;0,'LC Triangle'!AJ6/'LC Triangle'!AI6,"")</f>
        <v/>
      </c>
      <c r="AJ6" s="10">
        <f>IF('LC Triangle'!AJ6&gt;0,'LC Triangle'!AK6/'LC Triangle'!AJ6,"")</f>
        <v/>
      </c>
      <c r="AK6" s="10">
        <f>IF('LC Triangle'!AK6&gt;0,'LC Triangle'!AL6/'LC Triangle'!AK6,"")</f>
        <v/>
      </c>
      <c r="AL6" s="11">
        <f>IF('LC Triangle'!AL6&gt;0,'LC Triangle'!AM6/'LC Triangle'!AL6,"")</f>
        <v/>
      </c>
      <c r="AM6" s="11">
        <f>IF('LC Triangle'!AM6&gt;0,'LC Triangle'!AN6/'LC Triangle'!AM6,"")</f>
        <v/>
      </c>
      <c r="AN6" s="10">
        <f>IF('LC Triangle'!AN6&gt;0,'LC Triangle'!AO6/'LC Triangle'!AN6,"")</f>
        <v/>
      </c>
      <c r="AO6" s="10">
        <f>IF('LC Triangle'!AO6&gt;0,'LC Triangle'!AP6/'LC Triangle'!AO6,"")</f>
        <v/>
      </c>
    </row>
    <row r="7">
      <c r="A7" s="6" t="inlineStr">
        <is>
          <t>2023-06</t>
        </is>
      </c>
      <c r="B7" s="10">
        <f>IF('LC Triangle'!B7&gt;0,'LC Triangle'!C7/'LC Triangle'!B7,"")</f>
        <v/>
      </c>
      <c r="C7" s="10">
        <f>IF('LC Triangle'!C7&gt;0,'LC Triangle'!D7/'LC Triangle'!C7,"")</f>
        <v/>
      </c>
      <c r="D7" s="10">
        <f>IF('LC Triangle'!D7&gt;0,'LC Triangle'!E7/'LC Triangle'!D7,"")</f>
        <v/>
      </c>
      <c r="E7" s="10">
        <f>IF('LC Triangle'!E7&gt;0,'LC Triangle'!F7/'LC Triangle'!E7,"")</f>
        <v/>
      </c>
      <c r="F7" s="10">
        <f>IF('LC Triangle'!F7&gt;0,'LC Triangle'!G7/'LC Triangle'!F7,"")</f>
        <v/>
      </c>
      <c r="G7" s="10">
        <f>IF('LC Triangle'!G7&gt;0,'LC Triangle'!H7/'LC Triangle'!G7,"")</f>
        <v/>
      </c>
      <c r="H7" s="10">
        <f>IF('LC Triangle'!H7&gt;0,'LC Triangle'!I7/'LC Triangle'!H7,"")</f>
        <v/>
      </c>
      <c r="I7" s="10">
        <f>IF('LC Triangle'!I7&gt;0,'LC Triangle'!J7/'LC Triangle'!I7,"")</f>
        <v/>
      </c>
      <c r="J7" s="10">
        <f>IF('LC Triangle'!J7&gt;0,'LC Triangle'!K7/'LC Triangle'!J7,"")</f>
        <v/>
      </c>
      <c r="K7" s="10">
        <f>IF('LC Triangle'!K7&gt;0,'LC Triangle'!L7/'LC Triangle'!K7,"")</f>
        <v/>
      </c>
      <c r="L7" s="10">
        <f>IF('LC Triangle'!L7&gt;0,'LC Triangle'!M7/'LC Triangle'!L7,"")</f>
        <v/>
      </c>
      <c r="M7" s="10">
        <f>IF('LC Triangle'!M7&gt;0,'LC Triangle'!N7/'LC Triangle'!M7,"")</f>
        <v/>
      </c>
      <c r="N7" s="10">
        <f>IF('LC Triangle'!N7&gt;0,'LC Triangle'!O7/'LC Triangle'!N7,"")</f>
        <v/>
      </c>
      <c r="O7" s="10">
        <f>IF('LC Triangle'!O7&gt;0,'LC Triangle'!P7/'LC Triangle'!O7,"")</f>
        <v/>
      </c>
      <c r="P7" s="10">
        <f>IF('LC Triangle'!P7&gt;0,'LC Triangle'!Q7/'LC Triangle'!P7,"")</f>
        <v/>
      </c>
      <c r="Q7" s="10">
        <f>IF('LC Triangle'!Q7&gt;0,'LC Triangle'!R7/'LC Triangle'!Q7,"")</f>
        <v/>
      </c>
      <c r="R7" s="10">
        <f>IF('LC Triangle'!R7&gt;0,'LC Triangle'!S7/'LC Triangle'!R7,"")</f>
        <v/>
      </c>
      <c r="S7" s="10">
        <f>IF('LC Triangle'!S7&gt;0,'LC Triangle'!T7/'LC Triangle'!S7,"")</f>
        <v/>
      </c>
      <c r="T7" s="10">
        <f>IF('LC Triangle'!T7&gt;0,'LC Triangle'!U7/'LC Triangle'!T7,"")</f>
        <v/>
      </c>
      <c r="U7" s="10">
        <f>IF('LC Triangle'!U7&gt;0,'LC Triangle'!V7/'LC Triangle'!U7,"")</f>
        <v/>
      </c>
      <c r="V7" s="10">
        <f>IF('LC Triangle'!V7&gt;0,'LC Triangle'!W7/'LC Triangle'!V7,"")</f>
        <v/>
      </c>
      <c r="W7" s="10">
        <f>IF('LC Triangle'!W7&gt;0,'LC Triangle'!X7/'LC Triangle'!W7,"")</f>
        <v/>
      </c>
      <c r="X7" s="10">
        <f>IF('LC Triangle'!X7&gt;0,'LC Triangle'!Y7/'LC Triangle'!X7,"")</f>
        <v/>
      </c>
      <c r="Y7" s="10">
        <f>IF('LC Triangle'!Y7&gt;0,'LC Triangle'!Z7/'LC Triangle'!Y7,"")</f>
        <v/>
      </c>
      <c r="Z7" s="10">
        <f>IF('LC Triangle'!Z7&gt;0,'LC Triangle'!AA7/'LC Triangle'!Z7,"")</f>
        <v/>
      </c>
      <c r="AA7" s="10">
        <f>IF('LC Triangle'!AA7&gt;0,'LC Triangle'!AB7/'LC Triangle'!AA7,"")</f>
        <v/>
      </c>
      <c r="AB7" s="10">
        <f>IF('LC Triangle'!AB7&gt;0,'LC Triangle'!AC7/'LC Triangle'!AB7,"")</f>
        <v/>
      </c>
      <c r="AC7" s="10">
        <f>IF('LC Triangle'!AC7&gt;0,'LC Triangle'!AD7/'LC Triangle'!AC7,"")</f>
        <v/>
      </c>
      <c r="AD7" s="10">
        <f>IF('LC Triangle'!AD7&gt;0,'LC Triangle'!AE7/'LC Triangle'!AD7,"")</f>
        <v/>
      </c>
      <c r="AE7" s="10">
        <f>IF('LC Triangle'!AE7&gt;0,'LC Triangle'!AF7/'LC Triangle'!AE7,"")</f>
        <v/>
      </c>
      <c r="AF7" s="10">
        <f>IF('LC Triangle'!AF7&gt;0,'LC Triangle'!AG7/'LC Triangle'!AF7,"")</f>
        <v/>
      </c>
      <c r="AG7" s="10">
        <f>IF('LC Triangle'!AG7&gt;0,'LC Triangle'!AH7/'LC Triangle'!AG7,"")</f>
        <v/>
      </c>
      <c r="AH7" s="10">
        <f>IF('LC Triangle'!AH7&gt;0,'LC Triangle'!AI7/'LC Triangle'!AH7,"")</f>
        <v/>
      </c>
      <c r="AI7" s="10">
        <f>IF('LC Triangle'!AI7&gt;0,'LC Triangle'!AJ7/'LC Triangle'!AI7,"")</f>
        <v/>
      </c>
      <c r="AJ7" s="10">
        <f>IF('LC Triangle'!AJ7&gt;0,'LC Triangle'!AK7/'LC Triangle'!AJ7,"")</f>
        <v/>
      </c>
      <c r="AK7" s="11">
        <f>IF('LC Triangle'!AK7&gt;0,'LC Triangle'!AL7/'LC Triangle'!AK7,"")</f>
        <v/>
      </c>
      <c r="AL7" s="11">
        <f>IF('LC Triangle'!AL7&gt;0,'LC Triangle'!AM7/'LC Triangle'!AL7,"")</f>
        <v/>
      </c>
      <c r="AM7" s="10">
        <f>IF('LC Triangle'!AM7&gt;0,'LC Triangle'!AN7/'LC Triangle'!AM7,"")</f>
        <v/>
      </c>
      <c r="AN7" s="10">
        <f>IF('LC Triangle'!AN7&gt;0,'LC Triangle'!AO7/'LC Triangle'!AN7,"")</f>
        <v/>
      </c>
    </row>
    <row r="8">
      <c r="A8" s="6" t="inlineStr">
        <is>
          <t>2023-07</t>
        </is>
      </c>
      <c r="B8" s="10">
        <f>IF('LC Triangle'!B8&gt;0,'LC Triangle'!C8/'LC Triangle'!B8,"")</f>
        <v/>
      </c>
      <c r="C8" s="10">
        <f>IF('LC Triangle'!C8&gt;0,'LC Triangle'!D8/'LC Triangle'!C8,"")</f>
        <v/>
      </c>
      <c r="D8" s="10">
        <f>IF('LC Triangle'!D8&gt;0,'LC Triangle'!E8/'LC Triangle'!D8,"")</f>
        <v/>
      </c>
      <c r="E8" s="10">
        <f>IF('LC Triangle'!E8&gt;0,'LC Triangle'!F8/'LC Triangle'!E8,"")</f>
        <v/>
      </c>
      <c r="F8" s="10">
        <f>IF('LC Triangle'!F8&gt;0,'LC Triangle'!G8/'LC Triangle'!F8,"")</f>
        <v/>
      </c>
      <c r="G8" s="10">
        <f>IF('LC Triangle'!G8&gt;0,'LC Triangle'!H8/'LC Triangle'!G8,"")</f>
        <v/>
      </c>
      <c r="H8" s="10">
        <f>IF('LC Triangle'!H8&gt;0,'LC Triangle'!I8/'LC Triangle'!H8,"")</f>
        <v/>
      </c>
      <c r="I8" s="10">
        <f>IF('LC Triangle'!I8&gt;0,'LC Triangle'!J8/'LC Triangle'!I8,"")</f>
        <v/>
      </c>
      <c r="J8" s="10">
        <f>IF('LC Triangle'!J8&gt;0,'LC Triangle'!K8/'LC Triangle'!J8,"")</f>
        <v/>
      </c>
      <c r="K8" s="10">
        <f>IF('LC Triangle'!K8&gt;0,'LC Triangle'!L8/'LC Triangle'!K8,"")</f>
        <v/>
      </c>
      <c r="L8" s="10">
        <f>IF('LC Triangle'!L8&gt;0,'LC Triangle'!M8/'LC Triangle'!L8,"")</f>
        <v/>
      </c>
      <c r="M8" s="10">
        <f>IF('LC Triangle'!M8&gt;0,'LC Triangle'!N8/'LC Triangle'!M8,"")</f>
        <v/>
      </c>
      <c r="N8" s="10">
        <f>IF('LC Triangle'!N8&gt;0,'LC Triangle'!O8/'LC Triangle'!N8,"")</f>
        <v/>
      </c>
      <c r="O8" s="10">
        <f>IF('LC Triangle'!O8&gt;0,'LC Triangle'!P8/'LC Triangle'!O8,"")</f>
        <v/>
      </c>
      <c r="P8" s="10">
        <f>IF('LC Triangle'!P8&gt;0,'LC Triangle'!Q8/'LC Triangle'!P8,"")</f>
        <v/>
      </c>
      <c r="Q8" s="10">
        <f>IF('LC Triangle'!Q8&gt;0,'LC Triangle'!R8/'LC Triangle'!Q8,"")</f>
        <v/>
      </c>
      <c r="R8" s="10">
        <f>IF('LC Triangle'!R8&gt;0,'LC Triangle'!S8/'LC Triangle'!R8,"")</f>
        <v/>
      </c>
      <c r="S8" s="10">
        <f>IF('LC Triangle'!S8&gt;0,'LC Triangle'!T8/'LC Triangle'!S8,"")</f>
        <v/>
      </c>
      <c r="T8" s="10">
        <f>IF('LC Triangle'!T8&gt;0,'LC Triangle'!U8/'LC Triangle'!T8,"")</f>
        <v/>
      </c>
      <c r="U8" s="10">
        <f>IF('LC Triangle'!U8&gt;0,'LC Triangle'!V8/'LC Triangle'!U8,"")</f>
        <v/>
      </c>
      <c r="V8" s="10">
        <f>IF('LC Triangle'!V8&gt;0,'LC Triangle'!W8/'LC Triangle'!V8,"")</f>
        <v/>
      </c>
      <c r="W8" s="10">
        <f>IF('LC Triangle'!W8&gt;0,'LC Triangle'!X8/'LC Triangle'!W8,"")</f>
        <v/>
      </c>
      <c r="X8" s="10">
        <f>IF('LC Triangle'!X8&gt;0,'LC Triangle'!Y8/'LC Triangle'!X8,"")</f>
        <v/>
      </c>
      <c r="Y8" s="10">
        <f>IF('LC Triangle'!Y8&gt;0,'LC Triangle'!Z8/'LC Triangle'!Y8,"")</f>
        <v/>
      </c>
      <c r="Z8" s="10">
        <f>IF('LC Triangle'!Z8&gt;0,'LC Triangle'!AA8/'LC Triangle'!Z8,"")</f>
        <v/>
      </c>
      <c r="AA8" s="10">
        <f>IF('LC Triangle'!AA8&gt;0,'LC Triangle'!AB8/'LC Triangle'!AA8,"")</f>
        <v/>
      </c>
      <c r="AB8" s="10">
        <f>IF('LC Triangle'!AB8&gt;0,'LC Triangle'!AC8/'LC Triangle'!AB8,"")</f>
        <v/>
      </c>
      <c r="AC8" s="10">
        <f>IF('LC Triangle'!AC8&gt;0,'LC Triangle'!AD8/'LC Triangle'!AC8,"")</f>
        <v/>
      </c>
      <c r="AD8" s="10">
        <f>IF('LC Triangle'!AD8&gt;0,'LC Triangle'!AE8/'LC Triangle'!AD8,"")</f>
        <v/>
      </c>
      <c r="AE8" s="10">
        <f>IF('LC Triangle'!AE8&gt;0,'LC Triangle'!AF8/'LC Triangle'!AE8,"")</f>
        <v/>
      </c>
      <c r="AF8" s="10">
        <f>IF('LC Triangle'!AF8&gt;0,'LC Triangle'!AG8/'LC Triangle'!AF8,"")</f>
        <v/>
      </c>
      <c r="AG8" s="10">
        <f>IF('LC Triangle'!AG8&gt;0,'LC Triangle'!AH8/'LC Triangle'!AG8,"")</f>
        <v/>
      </c>
      <c r="AH8" s="10">
        <f>IF('LC Triangle'!AH8&gt;0,'LC Triangle'!AI8/'LC Triangle'!AH8,"")</f>
        <v/>
      </c>
      <c r="AI8" s="10">
        <f>IF('LC Triangle'!AI8&gt;0,'LC Triangle'!AJ8/'LC Triangle'!AI8,"")</f>
        <v/>
      </c>
      <c r="AJ8" s="11">
        <f>IF('LC Triangle'!AJ8&gt;0,'LC Triangle'!AK8/'LC Triangle'!AJ8,"")</f>
        <v/>
      </c>
      <c r="AK8" s="11">
        <f>IF('LC Triangle'!AK8&gt;0,'LC Triangle'!AL8/'LC Triangle'!AK8,"")</f>
        <v/>
      </c>
      <c r="AL8" s="10">
        <f>IF('LC Triangle'!AL8&gt;0,'LC Triangle'!AM8/'LC Triangle'!AL8,"")</f>
        <v/>
      </c>
      <c r="AM8" s="10">
        <f>IF('LC Triangle'!AM8&gt;0,'LC Triangle'!AN8/'LC Triangle'!AM8,"")</f>
        <v/>
      </c>
    </row>
    <row r="9">
      <c r="A9" s="6" t="inlineStr">
        <is>
          <t>2023-08</t>
        </is>
      </c>
      <c r="B9" s="10">
        <f>IF('LC Triangle'!B9&gt;0,'LC Triangle'!C9/'LC Triangle'!B9,"")</f>
        <v/>
      </c>
      <c r="C9" s="10">
        <f>IF('LC Triangle'!C9&gt;0,'LC Triangle'!D9/'LC Triangle'!C9,"")</f>
        <v/>
      </c>
      <c r="D9" s="10">
        <f>IF('LC Triangle'!D9&gt;0,'LC Triangle'!E9/'LC Triangle'!D9,"")</f>
        <v/>
      </c>
      <c r="E9" s="10">
        <f>IF('LC Triangle'!E9&gt;0,'LC Triangle'!F9/'LC Triangle'!E9,"")</f>
        <v/>
      </c>
      <c r="F9" s="10">
        <f>IF('LC Triangle'!F9&gt;0,'LC Triangle'!G9/'LC Triangle'!F9,"")</f>
        <v/>
      </c>
      <c r="G9" s="10">
        <f>IF('LC Triangle'!G9&gt;0,'LC Triangle'!H9/'LC Triangle'!G9,"")</f>
        <v/>
      </c>
      <c r="H9" s="10">
        <f>IF('LC Triangle'!H9&gt;0,'LC Triangle'!I9/'LC Triangle'!H9,"")</f>
        <v/>
      </c>
      <c r="I9" s="10">
        <f>IF('LC Triangle'!I9&gt;0,'LC Triangle'!J9/'LC Triangle'!I9,"")</f>
        <v/>
      </c>
      <c r="J9" s="10">
        <f>IF('LC Triangle'!J9&gt;0,'LC Triangle'!K9/'LC Triangle'!J9,"")</f>
        <v/>
      </c>
      <c r="K9" s="10">
        <f>IF('LC Triangle'!K9&gt;0,'LC Triangle'!L9/'LC Triangle'!K9,"")</f>
        <v/>
      </c>
      <c r="L9" s="10">
        <f>IF('LC Triangle'!L9&gt;0,'LC Triangle'!M9/'LC Triangle'!L9,"")</f>
        <v/>
      </c>
      <c r="M9" s="10">
        <f>IF('LC Triangle'!M9&gt;0,'LC Triangle'!N9/'LC Triangle'!M9,"")</f>
        <v/>
      </c>
      <c r="N9" s="10">
        <f>IF('LC Triangle'!N9&gt;0,'LC Triangle'!O9/'LC Triangle'!N9,"")</f>
        <v/>
      </c>
      <c r="O9" s="10">
        <f>IF('LC Triangle'!O9&gt;0,'LC Triangle'!P9/'LC Triangle'!O9,"")</f>
        <v/>
      </c>
      <c r="P9" s="10">
        <f>IF('LC Triangle'!P9&gt;0,'LC Triangle'!Q9/'LC Triangle'!P9,"")</f>
        <v/>
      </c>
      <c r="Q9" s="10">
        <f>IF('LC Triangle'!Q9&gt;0,'LC Triangle'!R9/'LC Triangle'!Q9,"")</f>
        <v/>
      </c>
      <c r="R9" s="10">
        <f>IF('LC Triangle'!R9&gt;0,'LC Triangle'!S9/'LC Triangle'!R9,"")</f>
        <v/>
      </c>
      <c r="S9" s="10">
        <f>IF('LC Triangle'!S9&gt;0,'LC Triangle'!T9/'LC Triangle'!S9,"")</f>
        <v/>
      </c>
      <c r="T9" s="10">
        <f>IF('LC Triangle'!T9&gt;0,'LC Triangle'!U9/'LC Triangle'!T9,"")</f>
        <v/>
      </c>
      <c r="U9" s="10">
        <f>IF('LC Triangle'!U9&gt;0,'LC Triangle'!V9/'LC Triangle'!U9,"")</f>
        <v/>
      </c>
      <c r="V9" s="10">
        <f>IF('LC Triangle'!V9&gt;0,'LC Triangle'!W9/'LC Triangle'!V9,"")</f>
        <v/>
      </c>
      <c r="W9" s="10">
        <f>IF('LC Triangle'!W9&gt;0,'LC Triangle'!X9/'LC Triangle'!W9,"")</f>
        <v/>
      </c>
      <c r="X9" s="10">
        <f>IF('LC Triangle'!X9&gt;0,'LC Triangle'!Y9/'LC Triangle'!X9,"")</f>
        <v/>
      </c>
      <c r="Y9" s="10">
        <f>IF('LC Triangle'!Y9&gt;0,'LC Triangle'!Z9/'LC Triangle'!Y9,"")</f>
        <v/>
      </c>
      <c r="Z9" s="10">
        <f>IF('LC Triangle'!Z9&gt;0,'LC Triangle'!AA9/'LC Triangle'!Z9,"")</f>
        <v/>
      </c>
      <c r="AA9" s="10">
        <f>IF('LC Triangle'!AA9&gt;0,'LC Triangle'!AB9/'LC Triangle'!AA9,"")</f>
        <v/>
      </c>
      <c r="AB9" s="10">
        <f>IF('LC Triangle'!AB9&gt;0,'LC Triangle'!AC9/'LC Triangle'!AB9,"")</f>
        <v/>
      </c>
      <c r="AC9" s="10">
        <f>IF('LC Triangle'!AC9&gt;0,'LC Triangle'!AD9/'LC Triangle'!AC9,"")</f>
        <v/>
      </c>
      <c r="AD9" s="10">
        <f>IF('LC Triangle'!AD9&gt;0,'LC Triangle'!AE9/'LC Triangle'!AD9,"")</f>
        <v/>
      </c>
      <c r="AE9" s="10">
        <f>IF('LC Triangle'!AE9&gt;0,'LC Triangle'!AF9/'LC Triangle'!AE9,"")</f>
        <v/>
      </c>
      <c r="AF9" s="10">
        <f>IF('LC Triangle'!AF9&gt;0,'LC Triangle'!AG9/'LC Triangle'!AF9,"")</f>
        <v/>
      </c>
      <c r="AG9" s="10">
        <f>IF('LC Triangle'!AG9&gt;0,'LC Triangle'!AH9/'LC Triangle'!AG9,"")</f>
        <v/>
      </c>
      <c r="AH9" s="10">
        <f>IF('LC Triangle'!AH9&gt;0,'LC Triangle'!AI9/'LC Triangle'!AH9,"")</f>
        <v/>
      </c>
      <c r="AI9" s="11">
        <f>IF('LC Triangle'!AI9&gt;0,'LC Triangle'!AJ9/'LC Triangle'!AI9,"")</f>
        <v/>
      </c>
      <c r="AJ9" s="11">
        <f>IF('LC Triangle'!AJ9&gt;0,'LC Triangle'!AK9/'LC Triangle'!AJ9,"")</f>
        <v/>
      </c>
      <c r="AK9" s="10">
        <f>IF('LC Triangle'!AK9&gt;0,'LC Triangle'!AL9/'LC Triangle'!AK9,"")</f>
        <v/>
      </c>
      <c r="AL9" s="10">
        <f>IF('LC Triangle'!AL9&gt;0,'LC Triangle'!AM9/'LC Triangle'!AL9,"")</f>
        <v/>
      </c>
    </row>
    <row r="10">
      <c r="A10" s="6" t="inlineStr">
        <is>
          <t>2023-09</t>
        </is>
      </c>
      <c r="B10" s="10">
        <f>IF('LC Triangle'!B10&gt;0,'LC Triangle'!C10/'LC Triangle'!B10,"")</f>
        <v/>
      </c>
      <c r="C10" s="10">
        <f>IF('LC Triangle'!C10&gt;0,'LC Triangle'!D10/'LC Triangle'!C10,"")</f>
        <v/>
      </c>
      <c r="D10" s="10">
        <f>IF('LC Triangle'!D10&gt;0,'LC Triangle'!E10/'LC Triangle'!D10,"")</f>
        <v/>
      </c>
      <c r="E10" s="10">
        <f>IF('LC Triangle'!E10&gt;0,'LC Triangle'!F10/'LC Triangle'!E10,"")</f>
        <v/>
      </c>
      <c r="F10" s="10">
        <f>IF('LC Triangle'!F10&gt;0,'LC Triangle'!G10/'LC Triangle'!F10,"")</f>
        <v/>
      </c>
      <c r="G10" s="10">
        <f>IF('LC Triangle'!G10&gt;0,'LC Triangle'!H10/'LC Triangle'!G10,"")</f>
        <v/>
      </c>
      <c r="H10" s="10">
        <f>IF('LC Triangle'!H10&gt;0,'LC Triangle'!I10/'LC Triangle'!H10,"")</f>
        <v/>
      </c>
      <c r="I10" s="10">
        <f>IF('LC Triangle'!I10&gt;0,'LC Triangle'!J10/'LC Triangle'!I10,"")</f>
        <v/>
      </c>
      <c r="J10" s="10">
        <f>IF('LC Triangle'!J10&gt;0,'LC Triangle'!K10/'LC Triangle'!J10,"")</f>
        <v/>
      </c>
      <c r="K10" s="10">
        <f>IF('LC Triangle'!K10&gt;0,'LC Triangle'!L10/'LC Triangle'!K10,"")</f>
        <v/>
      </c>
      <c r="L10" s="10">
        <f>IF('LC Triangle'!L10&gt;0,'LC Triangle'!M10/'LC Triangle'!L10,"")</f>
        <v/>
      </c>
      <c r="M10" s="10">
        <f>IF('LC Triangle'!M10&gt;0,'LC Triangle'!N10/'LC Triangle'!M10,"")</f>
        <v/>
      </c>
      <c r="N10" s="10">
        <f>IF('LC Triangle'!N10&gt;0,'LC Triangle'!O10/'LC Triangle'!N10,"")</f>
        <v/>
      </c>
      <c r="O10" s="10">
        <f>IF('LC Triangle'!O10&gt;0,'LC Triangle'!P10/'LC Triangle'!O10,"")</f>
        <v/>
      </c>
      <c r="P10" s="10">
        <f>IF('LC Triangle'!P10&gt;0,'LC Triangle'!Q10/'LC Triangle'!P10,"")</f>
        <v/>
      </c>
      <c r="Q10" s="10">
        <f>IF('LC Triangle'!Q10&gt;0,'LC Triangle'!R10/'LC Triangle'!Q10,"")</f>
        <v/>
      </c>
      <c r="R10" s="10">
        <f>IF('LC Triangle'!R10&gt;0,'LC Triangle'!S10/'LC Triangle'!R10,"")</f>
        <v/>
      </c>
      <c r="S10" s="10">
        <f>IF('LC Triangle'!S10&gt;0,'LC Triangle'!T10/'LC Triangle'!S10,"")</f>
        <v/>
      </c>
      <c r="T10" s="10">
        <f>IF('LC Triangle'!T10&gt;0,'LC Triangle'!U10/'LC Triangle'!T10,"")</f>
        <v/>
      </c>
      <c r="U10" s="10">
        <f>IF('LC Triangle'!U10&gt;0,'LC Triangle'!V10/'LC Triangle'!U10,"")</f>
        <v/>
      </c>
      <c r="V10" s="10">
        <f>IF('LC Triangle'!V10&gt;0,'LC Triangle'!W10/'LC Triangle'!V10,"")</f>
        <v/>
      </c>
      <c r="W10" s="10">
        <f>IF('LC Triangle'!W10&gt;0,'LC Triangle'!X10/'LC Triangle'!W10,"")</f>
        <v/>
      </c>
      <c r="X10" s="10">
        <f>IF('LC Triangle'!X10&gt;0,'LC Triangle'!Y10/'LC Triangle'!X10,"")</f>
        <v/>
      </c>
      <c r="Y10" s="10">
        <f>IF('LC Triangle'!Y10&gt;0,'LC Triangle'!Z10/'LC Triangle'!Y10,"")</f>
        <v/>
      </c>
      <c r="Z10" s="10">
        <f>IF('LC Triangle'!Z10&gt;0,'LC Triangle'!AA10/'LC Triangle'!Z10,"")</f>
        <v/>
      </c>
      <c r="AA10" s="10">
        <f>IF('LC Triangle'!AA10&gt;0,'LC Triangle'!AB10/'LC Triangle'!AA10,"")</f>
        <v/>
      </c>
      <c r="AB10" s="10">
        <f>IF('LC Triangle'!AB10&gt;0,'LC Triangle'!AC10/'LC Triangle'!AB10,"")</f>
        <v/>
      </c>
      <c r="AC10" s="10">
        <f>IF('LC Triangle'!AC10&gt;0,'LC Triangle'!AD10/'LC Triangle'!AC10,"")</f>
        <v/>
      </c>
      <c r="AD10" s="10">
        <f>IF('LC Triangle'!AD10&gt;0,'LC Triangle'!AE10/'LC Triangle'!AD10,"")</f>
        <v/>
      </c>
      <c r="AE10" s="10">
        <f>IF('LC Triangle'!AE10&gt;0,'LC Triangle'!AF10/'LC Triangle'!AE10,"")</f>
        <v/>
      </c>
      <c r="AF10" s="10">
        <f>IF('LC Triangle'!AF10&gt;0,'LC Triangle'!AG10/'LC Triangle'!AF10,"")</f>
        <v/>
      </c>
      <c r="AG10" s="10">
        <f>IF('LC Triangle'!AG10&gt;0,'LC Triangle'!AH10/'LC Triangle'!AG10,"")</f>
        <v/>
      </c>
      <c r="AH10" s="11">
        <f>IF('LC Triangle'!AH10&gt;0,'LC Triangle'!AI10/'LC Triangle'!AH10,"")</f>
        <v/>
      </c>
      <c r="AI10" s="11">
        <f>IF('LC Triangle'!AI10&gt;0,'LC Triangle'!AJ10/'LC Triangle'!AI10,"")</f>
        <v/>
      </c>
      <c r="AJ10" s="10">
        <f>IF('LC Triangle'!AJ10&gt;0,'LC Triangle'!AK10/'LC Triangle'!AJ10,"")</f>
        <v/>
      </c>
      <c r="AK10" s="10">
        <f>IF('LC Triangle'!AK10&gt;0,'LC Triangle'!AL10/'LC Triangle'!AK10,"")</f>
        <v/>
      </c>
    </row>
    <row r="11">
      <c r="A11" s="6" t="inlineStr">
        <is>
          <t>2023-10</t>
        </is>
      </c>
      <c r="B11" s="10">
        <f>IF('LC Triangle'!B11&gt;0,'LC Triangle'!C11/'LC Triangle'!B11,"")</f>
        <v/>
      </c>
      <c r="C11" s="10">
        <f>IF('LC Triangle'!C11&gt;0,'LC Triangle'!D11/'LC Triangle'!C11,"")</f>
        <v/>
      </c>
      <c r="D11" s="10">
        <f>IF('LC Triangle'!D11&gt;0,'LC Triangle'!E11/'LC Triangle'!D11,"")</f>
        <v/>
      </c>
      <c r="E11" s="10">
        <f>IF('LC Triangle'!E11&gt;0,'LC Triangle'!F11/'LC Triangle'!E11,"")</f>
        <v/>
      </c>
      <c r="F11" s="10">
        <f>IF('LC Triangle'!F11&gt;0,'LC Triangle'!G11/'LC Triangle'!F11,"")</f>
        <v/>
      </c>
      <c r="G11" s="10">
        <f>IF('LC Triangle'!G11&gt;0,'LC Triangle'!H11/'LC Triangle'!G11,"")</f>
        <v/>
      </c>
      <c r="H11" s="10">
        <f>IF('LC Triangle'!H11&gt;0,'LC Triangle'!I11/'LC Triangle'!H11,"")</f>
        <v/>
      </c>
      <c r="I11" s="10">
        <f>IF('LC Triangle'!I11&gt;0,'LC Triangle'!J11/'LC Triangle'!I11,"")</f>
        <v/>
      </c>
      <c r="J11" s="10">
        <f>IF('LC Triangle'!J11&gt;0,'LC Triangle'!K11/'LC Triangle'!J11,"")</f>
        <v/>
      </c>
      <c r="K11" s="10">
        <f>IF('LC Triangle'!K11&gt;0,'LC Triangle'!L11/'LC Triangle'!K11,"")</f>
        <v/>
      </c>
      <c r="L11" s="10">
        <f>IF('LC Triangle'!L11&gt;0,'LC Triangle'!M11/'LC Triangle'!L11,"")</f>
        <v/>
      </c>
      <c r="M11" s="10">
        <f>IF('LC Triangle'!M11&gt;0,'LC Triangle'!N11/'LC Triangle'!M11,"")</f>
        <v/>
      </c>
      <c r="N11" s="10">
        <f>IF('LC Triangle'!N11&gt;0,'LC Triangle'!O11/'LC Triangle'!N11,"")</f>
        <v/>
      </c>
      <c r="O11" s="10">
        <f>IF('LC Triangle'!O11&gt;0,'LC Triangle'!P11/'LC Triangle'!O11,"")</f>
        <v/>
      </c>
      <c r="P11" s="10">
        <f>IF('LC Triangle'!P11&gt;0,'LC Triangle'!Q11/'LC Triangle'!P11,"")</f>
        <v/>
      </c>
      <c r="Q11" s="10">
        <f>IF('LC Triangle'!Q11&gt;0,'LC Triangle'!R11/'LC Triangle'!Q11,"")</f>
        <v/>
      </c>
      <c r="R11" s="10">
        <f>IF('LC Triangle'!R11&gt;0,'LC Triangle'!S11/'LC Triangle'!R11,"")</f>
        <v/>
      </c>
      <c r="S11" s="10">
        <f>IF('LC Triangle'!S11&gt;0,'LC Triangle'!T11/'LC Triangle'!S11,"")</f>
        <v/>
      </c>
      <c r="T11" s="10">
        <f>IF('LC Triangle'!T11&gt;0,'LC Triangle'!U11/'LC Triangle'!T11,"")</f>
        <v/>
      </c>
      <c r="U11" s="10">
        <f>IF('LC Triangle'!U11&gt;0,'LC Triangle'!V11/'LC Triangle'!U11,"")</f>
        <v/>
      </c>
      <c r="V11" s="10">
        <f>IF('LC Triangle'!V11&gt;0,'LC Triangle'!W11/'LC Triangle'!V11,"")</f>
        <v/>
      </c>
      <c r="W11" s="10">
        <f>IF('LC Triangle'!W11&gt;0,'LC Triangle'!X11/'LC Triangle'!W11,"")</f>
        <v/>
      </c>
      <c r="X11" s="10">
        <f>IF('LC Triangle'!X11&gt;0,'LC Triangle'!Y11/'LC Triangle'!X11,"")</f>
        <v/>
      </c>
      <c r="Y11" s="10">
        <f>IF('LC Triangle'!Y11&gt;0,'LC Triangle'!Z11/'LC Triangle'!Y11,"")</f>
        <v/>
      </c>
      <c r="Z11" s="10">
        <f>IF('LC Triangle'!Z11&gt;0,'LC Triangle'!AA11/'LC Triangle'!Z11,"")</f>
        <v/>
      </c>
      <c r="AA11" s="10">
        <f>IF('LC Triangle'!AA11&gt;0,'LC Triangle'!AB11/'LC Triangle'!AA11,"")</f>
        <v/>
      </c>
      <c r="AB11" s="10">
        <f>IF('LC Triangle'!AB11&gt;0,'LC Triangle'!AC11/'LC Triangle'!AB11,"")</f>
        <v/>
      </c>
      <c r="AC11" s="10">
        <f>IF('LC Triangle'!AC11&gt;0,'LC Triangle'!AD11/'LC Triangle'!AC11,"")</f>
        <v/>
      </c>
      <c r="AD11" s="10">
        <f>IF('LC Triangle'!AD11&gt;0,'LC Triangle'!AE11/'LC Triangle'!AD11,"")</f>
        <v/>
      </c>
      <c r="AE11" s="10">
        <f>IF('LC Triangle'!AE11&gt;0,'LC Triangle'!AF11/'LC Triangle'!AE11,"")</f>
        <v/>
      </c>
      <c r="AF11" s="10">
        <f>IF('LC Triangle'!AF11&gt;0,'LC Triangle'!AG11/'LC Triangle'!AF11,"")</f>
        <v/>
      </c>
      <c r="AG11" s="11">
        <f>IF('LC Triangle'!AG11&gt;0,'LC Triangle'!AH11/'LC Triangle'!AG11,"")</f>
        <v/>
      </c>
      <c r="AH11" s="11">
        <f>IF('LC Triangle'!AH11&gt;0,'LC Triangle'!AI11/'LC Triangle'!AH11,"")</f>
        <v/>
      </c>
      <c r="AI11" s="10">
        <f>IF('LC Triangle'!AI11&gt;0,'LC Triangle'!AJ11/'LC Triangle'!AI11,"")</f>
        <v/>
      </c>
      <c r="AJ11" s="10">
        <f>IF('LC Triangle'!AJ11&gt;0,'LC Triangle'!AK11/'LC Triangle'!AJ11,"")</f>
        <v/>
      </c>
    </row>
    <row r="12">
      <c r="A12" s="6" t="inlineStr">
        <is>
          <t>2023-11</t>
        </is>
      </c>
      <c r="B12" s="10">
        <f>IF('LC Triangle'!B12&gt;0,'LC Triangle'!C12/'LC Triangle'!B12,"")</f>
        <v/>
      </c>
      <c r="C12" s="10">
        <f>IF('LC Triangle'!C12&gt;0,'LC Triangle'!D12/'LC Triangle'!C12,"")</f>
        <v/>
      </c>
      <c r="D12" s="10">
        <f>IF('LC Triangle'!D12&gt;0,'LC Triangle'!E12/'LC Triangle'!D12,"")</f>
        <v/>
      </c>
      <c r="E12" s="10">
        <f>IF('LC Triangle'!E12&gt;0,'LC Triangle'!F12/'LC Triangle'!E12,"")</f>
        <v/>
      </c>
      <c r="F12" s="10">
        <f>IF('LC Triangle'!F12&gt;0,'LC Triangle'!G12/'LC Triangle'!F12,"")</f>
        <v/>
      </c>
      <c r="G12" s="10">
        <f>IF('LC Triangle'!G12&gt;0,'LC Triangle'!H12/'LC Triangle'!G12,"")</f>
        <v/>
      </c>
      <c r="H12" s="10">
        <f>IF('LC Triangle'!H12&gt;0,'LC Triangle'!I12/'LC Triangle'!H12,"")</f>
        <v/>
      </c>
      <c r="I12" s="10">
        <f>IF('LC Triangle'!I12&gt;0,'LC Triangle'!J12/'LC Triangle'!I12,"")</f>
        <v/>
      </c>
      <c r="J12" s="10">
        <f>IF('LC Triangle'!J12&gt;0,'LC Triangle'!K12/'LC Triangle'!J12,"")</f>
        <v/>
      </c>
      <c r="K12" s="10">
        <f>IF('LC Triangle'!K12&gt;0,'LC Triangle'!L12/'LC Triangle'!K12,"")</f>
        <v/>
      </c>
      <c r="L12" s="10">
        <f>IF('LC Triangle'!L12&gt;0,'LC Triangle'!M12/'LC Triangle'!L12,"")</f>
        <v/>
      </c>
      <c r="M12" s="10">
        <f>IF('LC Triangle'!M12&gt;0,'LC Triangle'!N12/'LC Triangle'!M12,"")</f>
        <v/>
      </c>
      <c r="N12" s="10">
        <f>IF('LC Triangle'!N12&gt;0,'LC Triangle'!O12/'LC Triangle'!N12,"")</f>
        <v/>
      </c>
      <c r="O12" s="10">
        <f>IF('LC Triangle'!O12&gt;0,'LC Triangle'!P12/'LC Triangle'!O12,"")</f>
        <v/>
      </c>
      <c r="P12" s="10">
        <f>IF('LC Triangle'!P12&gt;0,'LC Triangle'!Q12/'LC Triangle'!P12,"")</f>
        <v/>
      </c>
      <c r="Q12" s="10">
        <f>IF('LC Triangle'!Q12&gt;0,'LC Triangle'!R12/'LC Triangle'!Q12,"")</f>
        <v/>
      </c>
      <c r="R12" s="10">
        <f>IF('LC Triangle'!R12&gt;0,'LC Triangle'!S12/'LC Triangle'!R12,"")</f>
        <v/>
      </c>
      <c r="S12" s="10">
        <f>IF('LC Triangle'!S12&gt;0,'LC Triangle'!T12/'LC Triangle'!S12,"")</f>
        <v/>
      </c>
      <c r="T12" s="10">
        <f>IF('LC Triangle'!T12&gt;0,'LC Triangle'!U12/'LC Triangle'!T12,"")</f>
        <v/>
      </c>
      <c r="U12" s="10">
        <f>IF('LC Triangle'!U12&gt;0,'LC Triangle'!V12/'LC Triangle'!U12,"")</f>
        <v/>
      </c>
      <c r="V12" s="10">
        <f>IF('LC Triangle'!V12&gt;0,'LC Triangle'!W12/'LC Triangle'!V12,"")</f>
        <v/>
      </c>
      <c r="W12" s="10">
        <f>IF('LC Triangle'!W12&gt;0,'LC Triangle'!X12/'LC Triangle'!W12,"")</f>
        <v/>
      </c>
      <c r="X12" s="10">
        <f>IF('LC Triangle'!X12&gt;0,'LC Triangle'!Y12/'LC Triangle'!X12,"")</f>
        <v/>
      </c>
      <c r="Y12" s="10">
        <f>IF('LC Triangle'!Y12&gt;0,'LC Triangle'!Z12/'LC Triangle'!Y12,"")</f>
        <v/>
      </c>
      <c r="Z12" s="10">
        <f>IF('LC Triangle'!Z12&gt;0,'LC Triangle'!AA12/'LC Triangle'!Z12,"")</f>
        <v/>
      </c>
      <c r="AA12" s="10">
        <f>IF('LC Triangle'!AA12&gt;0,'LC Triangle'!AB12/'LC Triangle'!AA12,"")</f>
        <v/>
      </c>
      <c r="AB12" s="10">
        <f>IF('LC Triangle'!AB12&gt;0,'LC Triangle'!AC12/'LC Triangle'!AB12,"")</f>
        <v/>
      </c>
      <c r="AC12" s="10">
        <f>IF('LC Triangle'!AC12&gt;0,'LC Triangle'!AD12/'LC Triangle'!AC12,"")</f>
        <v/>
      </c>
      <c r="AD12" s="10">
        <f>IF('LC Triangle'!AD12&gt;0,'LC Triangle'!AE12/'LC Triangle'!AD12,"")</f>
        <v/>
      </c>
      <c r="AE12" s="10">
        <f>IF('LC Triangle'!AE12&gt;0,'LC Triangle'!AF12/'LC Triangle'!AE12,"")</f>
        <v/>
      </c>
      <c r="AF12" s="11">
        <f>IF('LC Triangle'!AF12&gt;0,'LC Triangle'!AG12/'LC Triangle'!AF12,"")</f>
        <v/>
      </c>
      <c r="AG12" s="11">
        <f>IF('LC Triangle'!AG12&gt;0,'LC Triangle'!AH12/'LC Triangle'!AG12,"")</f>
        <v/>
      </c>
      <c r="AH12" s="10">
        <f>IF('LC Triangle'!AH12&gt;0,'LC Triangle'!AI12/'LC Triangle'!AH12,"")</f>
        <v/>
      </c>
      <c r="AI12" s="10">
        <f>IF('LC Triangle'!AI12&gt;0,'LC Triangle'!AJ12/'LC Triangle'!AI12,"")</f>
        <v/>
      </c>
    </row>
    <row r="13">
      <c r="A13" s="6" t="inlineStr">
        <is>
          <t>2023-12</t>
        </is>
      </c>
      <c r="B13" s="10">
        <f>IF('LC Triangle'!B13&gt;0,'LC Triangle'!C13/'LC Triangle'!B13,"")</f>
        <v/>
      </c>
      <c r="C13" s="10">
        <f>IF('LC Triangle'!C13&gt;0,'LC Triangle'!D13/'LC Triangle'!C13,"")</f>
        <v/>
      </c>
      <c r="D13" s="10">
        <f>IF('LC Triangle'!D13&gt;0,'LC Triangle'!E13/'LC Triangle'!D13,"")</f>
        <v/>
      </c>
      <c r="E13" s="10">
        <f>IF('LC Triangle'!E13&gt;0,'LC Triangle'!F13/'LC Triangle'!E13,"")</f>
        <v/>
      </c>
      <c r="F13" s="10">
        <f>IF('LC Triangle'!F13&gt;0,'LC Triangle'!G13/'LC Triangle'!F13,"")</f>
        <v/>
      </c>
      <c r="G13" s="10">
        <f>IF('LC Triangle'!G13&gt;0,'LC Triangle'!H13/'LC Triangle'!G13,"")</f>
        <v/>
      </c>
      <c r="H13" s="10">
        <f>IF('LC Triangle'!H13&gt;0,'LC Triangle'!I13/'LC Triangle'!H13,"")</f>
        <v/>
      </c>
      <c r="I13" s="10">
        <f>IF('LC Triangle'!I13&gt;0,'LC Triangle'!J13/'LC Triangle'!I13,"")</f>
        <v/>
      </c>
      <c r="J13" s="10">
        <f>IF('LC Triangle'!J13&gt;0,'LC Triangle'!K13/'LC Triangle'!J13,"")</f>
        <v/>
      </c>
      <c r="K13" s="10">
        <f>IF('LC Triangle'!K13&gt;0,'LC Triangle'!L13/'LC Triangle'!K13,"")</f>
        <v/>
      </c>
      <c r="L13" s="10">
        <f>IF('LC Triangle'!L13&gt;0,'LC Triangle'!M13/'LC Triangle'!L13,"")</f>
        <v/>
      </c>
      <c r="M13" s="10">
        <f>IF('LC Triangle'!M13&gt;0,'LC Triangle'!N13/'LC Triangle'!M13,"")</f>
        <v/>
      </c>
      <c r="N13" s="10">
        <f>IF('LC Triangle'!N13&gt;0,'LC Triangle'!O13/'LC Triangle'!N13,"")</f>
        <v/>
      </c>
      <c r="O13" s="10">
        <f>IF('LC Triangle'!O13&gt;0,'LC Triangle'!P13/'LC Triangle'!O13,"")</f>
        <v/>
      </c>
      <c r="P13" s="10">
        <f>IF('LC Triangle'!P13&gt;0,'LC Triangle'!Q13/'LC Triangle'!P13,"")</f>
        <v/>
      </c>
      <c r="Q13" s="10">
        <f>IF('LC Triangle'!Q13&gt;0,'LC Triangle'!R13/'LC Triangle'!Q13,"")</f>
        <v/>
      </c>
      <c r="R13" s="10">
        <f>IF('LC Triangle'!R13&gt;0,'LC Triangle'!S13/'LC Triangle'!R13,"")</f>
        <v/>
      </c>
      <c r="S13" s="10">
        <f>IF('LC Triangle'!S13&gt;0,'LC Triangle'!T13/'LC Triangle'!S13,"")</f>
        <v/>
      </c>
      <c r="T13" s="10">
        <f>IF('LC Triangle'!T13&gt;0,'LC Triangle'!U13/'LC Triangle'!T13,"")</f>
        <v/>
      </c>
      <c r="U13" s="10">
        <f>IF('LC Triangle'!U13&gt;0,'LC Triangle'!V13/'LC Triangle'!U13,"")</f>
        <v/>
      </c>
      <c r="V13" s="10">
        <f>IF('LC Triangle'!V13&gt;0,'LC Triangle'!W13/'LC Triangle'!V13,"")</f>
        <v/>
      </c>
      <c r="W13" s="10">
        <f>IF('LC Triangle'!W13&gt;0,'LC Triangle'!X13/'LC Triangle'!W13,"")</f>
        <v/>
      </c>
      <c r="X13" s="10">
        <f>IF('LC Triangle'!X13&gt;0,'LC Triangle'!Y13/'LC Triangle'!X13,"")</f>
        <v/>
      </c>
      <c r="Y13" s="10">
        <f>IF('LC Triangle'!Y13&gt;0,'LC Triangle'!Z13/'LC Triangle'!Y13,"")</f>
        <v/>
      </c>
      <c r="Z13" s="10">
        <f>IF('LC Triangle'!Z13&gt;0,'LC Triangle'!AA13/'LC Triangle'!Z13,"")</f>
        <v/>
      </c>
      <c r="AA13" s="10">
        <f>IF('LC Triangle'!AA13&gt;0,'LC Triangle'!AB13/'LC Triangle'!AA13,"")</f>
        <v/>
      </c>
      <c r="AB13" s="10">
        <f>IF('LC Triangle'!AB13&gt;0,'LC Triangle'!AC13/'LC Triangle'!AB13,"")</f>
        <v/>
      </c>
      <c r="AC13" s="10">
        <f>IF('LC Triangle'!AC13&gt;0,'LC Triangle'!AD13/'LC Triangle'!AC13,"")</f>
        <v/>
      </c>
      <c r="AD13" s="10">
        <f>IF('LC Triangle'!AD13&gt;0,'LC Triangle'!AE13/'LC Triangle'!AD13,"")</f>
        <v/>
      </c>
      <c r="AE13" s="11">
        <f>IF('LC Triangle'!AE13&gt;0,'LC Triangle'!AF13/'LC Triangle'!AE13,"")</f>
        <v/>
      </c>
      <c r="AF13" s="11">
        <f>IF('LC Triangle'!AF13&gt;0,'LC Triangle'!AG13/'LC Triangle'!AF13,"")</f>
        <v/>
      </c>
      <c r="AG13" s="10">
        <f>IF('LC Triangle'!AG13&gt;0,'LC Triangle'!AH13/'LC Triangle'!AG13,"")</f>
        <v/>
      </c>
      <c r="AH13" s="10">
        <f>IF('LC Triangle'!AH13&gt;0,'LC Triangle'!AI13/'LC Triangle'!AH13,"")</f>
        <v/>
      </c>
    </row>
    <row r="14">
      <c r="A14" s="6" t="inlineStr">
        <is>
          <t>2024-01</t>
        </is>
      </c>
      <c r="B14" s="10">
        <f>IF('LC Triangle'!B14&gt;0,'LC Triangle'!C14/'LC Triangle'!B14,"")</f>
        <v/>
      </c>
      <c r="C14" s="10">
        <f>IF('LC Triangle'!C14&gt;0,'LC Triangle'!D14/'LC Triangle'!C14,"")</f>
        <v/>
      </c>
      <c r="D14" s="10">
        <f>IF('LC Triangle'!D14&gt;0,'LC Triangle'!E14/'LC Triangle'!D14,"")</f>
        <v/>
      </c>
      <c r="E14" s="10">
        <f>IF('LC Triangle'!E14&gt;0,'LC Triangle'!F14/'LC Triangle'!E14,"")</f>
        <v/>
      </c>
      <c r="F14" s="10">
        <f>IF('LC Triangle'!F14&gt;0,'LC Triangle'!G14/'LC Triangle'!F14,"")</f>
        <v/>
      </c>
      <c r="G14" s="10">
        <f>IF('LC Triangle'!G14&gt;0,'LC Triangle'!H14/'LC Triangle'!G14,"")</f>
        <v/>
      </c>
      <c r="H14" s="10">
        <f>IF('LC Triangle'!H14&gt;0,'LC Triangle'!I14/'LC Triangle'!H14,"")</f>
        <v/>
      </c>
      <c r="I14" s="10">
        <f>IF('LC Triangle'!I14&gt;0,'LC Triangle'!J14/'LC Triangle'!I14,"")</f>
        <v/>
      </c>
      <c r="J14" s="10">
        <f>IF('LC Triangle'!J14&gt;0,'LC Triangle'!K14/'LC Triangle'!J14,"")</f>
        <v/>
      </c>
      <c r="K14" s="10">
        <f>IF('LC Triangle'!K14&gt;0,'LC Triangle'!L14/'LC Triangle'!K14,"")</f>
        <v/>
      </c>
      <c r="L14" s="10">
        <f>IF('LC Triangle'!L14&gt;0,'LC Triangle'!M14/'LC Triangle'!L14,"")</f>
        <v/>
      </c>
      <c r="M14" s="10">
        <f>IF('LC Triangle'!M14&gt;0,'LC Triangle'!N14/'LC Triangle'!M14,"")</f>
        <v/>
      </c>
      <c r="N14" s="10">
        <f>IF('LC Triangle'!N14&gt;0,'LC Triangle'!O14/'LC Triangle'!N14,"")</f>
        <v/>
      </c>
      <c r="O14" s="10">
        <f>IF('LC Triangle'!O14&gt;0,'LC Triangle'!P14/'LC Triangle'!O14,"")</f>
        <v/>
      </c>
      <c r="P14" s="10">
        <f>IF('LC Triangle'!P14&gt;0,'LC Triangle'!Q14/'LC Triangle'!P14,"")</f>
        <v/>
      </c>
      <c r="Q14" s="10">
        <f>IF('LC Triangle'!Q14&gt;0,'LC Triangle'!R14/'LC Triangle'!Q14,"")</f>
        <v/>
      </c>
      <c r="R14" s="10">
        <f>IF('LC Triangle'!R14&gt;0,'LC Triangle'!S14/'LC Triangle'!R14,"")</f>
        <v/>
      </c>
      <c r="S14" s="10">
        <f>IF('LC Triangle'!S14&gt;0,'LC Triangle'!T14/'LC Triangle'!S14,"")</f>
        <v/>
      </c>
      <c r="T14" s="10">
        <f>IF('LC Triangle'!T14&gt;0,'LC Triangle'!U14/'LC Triangle'!T14,"")</f>
        <v/>
      </c>
      <c r="U14" s="10">
        <f>IF('LC Triangle'!U14&gt;0,'LC Triangle'!V14/'LC Triangle'!U14,"")</f>
        <v/>
      </c>
      <c r="V14" s="10">
        <f>IF('LC Triangle'!V14&gt;0,'LC Triangle'!W14/'LC Triangle'!V14,"")</f>
        <v/>
      </c>
      <c r="W14" s="10">
        <f>IF('LC Triangle'!W14&gt;0,'LC Triangle'!X14/'LC Triangle'!W14,"")</f>
        <v/>
      </c>
      <c r="X14" s="10">
        <f>IF('LC Triangle'!X14&gt;0,'LC Triangle'!Y14/'LC Triangle'!X14,"")</f>
        <v/>
      </c>
      <c r="Y14" s="10">
        <f>IF('LC Triangle'!Y14&gt;0,'LC Triangle'!Z14/'LC Triangle'!Y14,"")</f>
        <v/>
      </c>
      <c r="Z14" s="10">
        <f>IF('LC Triangle'!Z14&gt;0,'LC Triangle'!AA14/'LC Triangle'!Z14,"")</f>
        <v/>
      </c>
      <c r="AA14" s="10">
        <f>IF('LC Triangle'!AA14&gt;0,'LC Triangle'!AB14/'LC Triangle'!AA14,"")</f>
        <v/>
      </c>
      <c r="AB14" s="10">
        <f>IF('LC Triangle'!AB14&gt;0,'LC Triangle'!AC14/'LC Triangle'!AB14,"")</f>
        <v/>
      </c>
      <c r="AC14" s="10">
        <f>IF('LC Triangle'!AC14&gt;0,'LC Triangle'!AD14/'LC Triangle'!AC14,"")</f>
        <v/>
      </c>
      <c r="AD14" s="11">
        <f>IF('LC Triangle'!AD14&gt;0,'LC Triangle'!AE14/'LC Triangle'!AD14,"")</f>
        <v/>
      </c>
      <c r="AE14" s="11">
        <f>IF('LC Triangle'!AE14&gt;0,'LC Triangle'!AF14/'LC Triangle'!AE14,"")</f>
        <v/>
      </c>
      <c r="AF14" s="10">
        <f>IF('LC Triangle'!AF14&gt;0,'LC Triangle'!AG14/'LC Triangle'!AF14,"")</f>
        <v/>
      </c>
      <c r="AG14" s="10">
        <f>IF('LC Triangle'!AG14&gt;0,'LC Triangle'!AH14/'LC Triangle'!AG14,"")</f>
        <v/>
      </c>
    </row>
    <row r="15">
      <c r="A15" s="6" t="inlineStr">
        <is>
          <t>2024-02</t>
        </is>
      </c>
      <c r="B15" s="10">
        <f>IF('LC Triangle'!B15&gt;0,'LC Triangle'!C15/'LC Triangle'!B15,"")</f>
        <v/>
      </c>
      <c r="C15" s="10">
        <f>IF('LC Triangle'!C15&gt;0,'LC Triangle'!D15/'LC Triangle'!C15,"")</f>
        <v/>
      </c>
      <c r="D15" s="10">
        <f>IF('LC Triangle'!D15&gt;0,'LC Triangle'!E15/'LC Triangle'!D15,"")</f>
        <v/>
      </c>
      <c r="E15" s="10">
        <f>IF('LC Triangle'!E15&gt;0,'LC Triangle'!F15/'LC Triangle'!E15,"")</f>
        <v/>
      </c>
      <c r="F15" s="10">
        <f>IF('LC Triangle'!F15&gt;0,'LC Triangle'!G15/'LC Triangle'!F15,"")</f>
        <v/>
      </c>
      <c r="G15" s="10">
        <f>IF('LC Triangle'!G15&gt;0,'LC Triangle'!H15/'LC Triangle'!G15,"")</f>
        <v/>
      </c>
      <c r="H15" s="10">
        <f>IF('LC Triangle'!H15&gt;0,'LC Triangle'!I15/'LC Triangle'!H15,"")</f>
        <v/>
      </c>
      <c r="I15" s="10">
        <f>IF('LC Triangle'!I15&gt;0,'LC Triangle'!J15/'LC Triangle'!I15,"")</f>
        <v/>
      </c>
      <c r="J15" s="10">
        <f>IF('LC Triangle'!J15&gt;0,'LC Triangle'!K15/'LC Triangle'!J15,"")</f>
        <v/>
      </c>
      <c r="K15" s="10">
        <f>IF('LC Triangle'!K15&gt;0,'LC Triangle'!L15/'LC Triangle'!K15,"")</f>
        <v/>
      </c>
      <c r="L15" s="10">
        <f>IF('LC Triangle'!L15&gt;0,'LC Triangle'!M15/'LC Triangle'!L15,"")</f>
        <v/>
      </c>
      <c r="M15" s="10">
        <f>IF('LC Triangle'!M15&gt;0,'LC Triangle'!N15/'LC Triangle'!M15,"")</f>
        <v/>
      </c>
      <c r="N15" s="10">
        <f>IF('LC Triangle'!N15&gt;0,'LC Triangle'!O15/'LC Triangle'!N15,"")</f>
        <v/>
      </c>
      <c r="O15" s="10">
        <f>IF('LC Triangle'!O15&gt;0,'LC Triangle'!P15/'LC Triangle'!O15,"")</f>
        <v/>
      </c>
      <c r="P15" s="10">
        <f>IF('LC Triangle'!P15&gt;0,'LC Triangle'!Q15/'LC Triangle'!P15,"")</f>
        <v/>
      </c>
      <c r="Q15" s="10">
        <f>IF('LC Triangle'!Q15&gt;0,'LC Triangle'!R15/'LC Triangle'!Q15,"")</f>
        <v/>
      </c>
      <c r="R15" s="10">
        <f>IF('LC Triangle'!R15&gt;0,'LC Triangle'!S15/'LC Triangle'!R15,"")</f>
        <v/>
      </c>
      <c r="S15" s="10">
        <f>IF('LC Triangle'!S15&gt;0,'LC Triangle'!T15/'LC Triangle'!S15,"")</f>
        <v/>
      </c>
      <c r="T15" s="10">
        <f>IF('LC Triangle'!T15&gt;0,'LC Triangle'!U15/'LC Triangle'!T15,"")</f>
        <v/>
      </c>
      <c r="U15" s="10">
        <f>IF('LC Triangle'!U15&gt;0,'LC Triangle'!V15/'LC Triangle'!U15,"")</f>
        <v/>
      </c>
      <c r="V15" s="10">
        <f>IF('LC Triangle'!V15&gt;0,'LC Triangle'!W15/'LC Triangle'!V15,"")</f>
        <v/>
      </c>
      <c r="W15" s="10">
        <f>IF('LC Triangle'!W15&gt;0,'LC Triangle'!X15/'LC Triangle'!W15,"")</f>
        <v/>
      </c>
      <c r="X15" s="10">
        <f>IF('LC Triangle'!X15&gt;0,'LC Triangle'!Y15/'LC Triangle'!X15,"")</f>
        <v/>
      </c>
      <c r="Y15" s="10">
        <f>IF('LC Triangle'!Y15&gt;0,'LC Triangle'!Z15/'LC Triangle'!Y15,"")</f>
        <v/>
      </c>
      <c r="Z15" s="10">
        <f>IF('LC Triangle'!Z15&gt;0,'LC Triangle'!AA15/'LC Triangle'!Z15,"")</f>
        <v/>
      </c>
      <c r="AA15" s="10">
        <f>IF('LC Triangle'!AA15&gt;0,'LC Triangle'!AB15/'LC Triangle'!AA15,"")</f>
        <v/>
      </c>
      <c r="AB15" s="10">
        <f>IF('LC Triangle'!AB15&gt;0,'LC Triangle'!AC15/'LC Triangle'!AB15,"")</f>
        <v/>
      </c>
      <c r="AC15" s="11">
        <f>IF('LC Triangle'!AC15&gt;0,'LC Triangle'!AD15/'LC Triangle'!AC15,"")</f>
        <v/>
      </c>
      <c r="AD15" s="11">
        <f>IF('LC Triangle'!AD15&gt;0,'LC Triangle'!AE15/'LC Triangle'!AD15,"")</f>
        <v/>
      </c>
      <c r="AE15" s="10">
        <f>IF('LC Triangle'!AE15&gt;0,'LC Triangle'!AF15/'LC Triangle'!AE15,"")</f>
        <v/>
      </c>
      <c r="AF15" s="10">
        <f>IF('LC Triangle'!AF15&gt;0,'LC Triangle'!AG15/'LC Triangle'!AF15,"")</f>
        <v/>
      </c>
    </row>
    <row r="16">
      <c r="A16" s="6" t="inlineStr">
        <is>
          <t>2024-03</t>
        </is>
      </c>
      <c r="B16" s="10">
        <f>IF('LC Triangle'!B16&gt;0,'LC Triangle'!C16/'LC Triangle'!B16,"")</f>
        <v/>
      </c>
      <c r="C16" s="10">
        <f>IF('LC Triangle'!C16&gt;0,'LC Triangle'!D16/'LC Triangle'!C16,"")</f>
        <v/>
      </c>
      <c r="D16" s="10">
        <f>IF('LC Triangle'!D16&gt;0,'LC Triangle'!E16/'LC Triangle'!D16,"")</f>
        <v/>
      </c>
      <c r="E16" s="10">
        <f>IF('LC Triangle'!E16&gt;0,'LC Triangle'!F16/'LC Triangle'!E16,"")</f>
        <v/>
      </c>
      <c r="F16" s="10">
        <f>IF('LC Triangle'!F16&gt;0,'LC Triangle'!G16/'LC Triangle'!F16,"")</f>
        <v/>
      </c>
      <c r="G16" s="10">
        <f>IF('LC Triangle'!G16&gt;0,'LC Triangle'!H16/'LC Triangle'!G16,"")</f>
        <v/>
      </c>
      <c r="H16" s="10">
        <f>IF('LC Triangle'!H16&gt;0,'LC Triangle'!I16/'LC Triangle'!H16,"")</f>
        <v/>
      </c>
      <c r="I16" s="10">
        <f>IF('LC Triangle'!I16&gt;0,'LC Triangle'!J16/'LC Triangle'!I16,"")</f>
        <v/>
      </c>
      <c r="J16" s="10">
        <f>IF('LC Triangle'!J16&gt;0,'LC Triangle'!K16/'LC Triangle'!J16,"")</f>
        <v/>
      </c>
      <c r="K16" s="10">
        <f>IF('LC Triangle'!K16&gt;0,'LC Triangle'!L16/'LC Triangle'!K16,"")</f>
        <v/>
      </c>
      <c r="L16" s="10">
        <f>IF('LC Triangle'!L16&gt;0,'LC Triangle'!M16/'LC Triangle'!L16,"")</f>
        <v/>
      </c>
      <c r="M16" s="10">
        <f>IF('LC Triangle'!M16&gt;0,'LC Triangle'!N16/'LC Triangle'!M16,"")</f>
        <v/>
      </c>
      <c r="N16" s="10">
        <f>IF('LC Triangle'!N16&gt;0,'LC Triangle'!O16/'LC Triangle'!N16,"")</f>
        <v/>
      </c>
      <c r="O16" s="10">
        <f>IF('LC Triangle'!O16&gt;0,'LC Triangle'!P16/'LC Triangle'!O16,"")</f>
        <v/>
      </c>
      <c r="P16" s="10">
        <f>IF('LC Triangle'!P16&gt;0,'LC Triangle'!Q16/'LC Triangle'!P16,"")</f>
        <v/>
      </c>
      <c r="Q16" s="10">
        <f>IF('LC Triangle'!Q16&gt;0,'LC Triangle'!R16/'LC Triangle'!Q16,"")</f>
        <v/>
      </c>
      <c r="R16" s="10">
        <f>IF('LC Triangle'!R16&gt;0,'LC Triangle'!S16/'LC Triangle'!R16,"")</f>
        <v/>
      </c>
      <c r="S16" s="10">
        <f>IF('LC Triangle'!S16&gt;0,'LC Triangle'!T16/'LC Triangle'!S16,"")</f>
        <v/>
      </c>
      <c r="T16" s="10">
        <f>IF('LC Triangle'!T16&gt;0,'LC Triangle'!U16/'LC Triangle'!T16,"")</f>
        <v/>
      </c>
      <c r="U16" s="10">
        <f>IF('LC Triangle'!U16&gt;0,'LC Triangle'!V16/'LC Triangle'!U16,"")</f>
        <v/>
      </c>
      <c r="V16" s="10">
        <f>IF('LC Triangle'!V16&gt;0,'LC Triangle'!W16/'LC Triangle'!V16,"")</f>
        <v/>
      </c>
      <c r="W16" s="10">
        <f>IF('LC Triangle'!W16&gt;0,'LC Triangle'!X16/'LC Triangle'!W16,"")</f>
        <v/>
      </c>
      <c r="X16" s="10">
        <f>IF('LC Triangle'!X16&gt;0,'LC Triangle'!Y16/'LC Triangle'!X16,"")</f>
        <v/>
      </c>
      <c r="Y16" s="10">
        <f>IF('LC Triangle'!Y16&gt;0,'LC Triangle'!Z16/'LC Triangle'!Y16,"")</f>
        <v/>
      </c>
      <c r="Z16" s="10">
        <f>IF('LC Triangle'!Z16&gt;0,'LC Triangle'!AA16/'LC Triangle'!Z16,"")</f>
        <v/>
      </c>
      <c r="AA16" s="10">
        <f>IF('LC Triangle'!AA16&gt;0,'LC Triangle'!AB16/'LC Triangle'!AA16,"")</f>
        <v/>
      </c>
      <c r="AB16" s="11">
        <f>IF('LC Triangle'!AB16&gt;0,'LC Triangle'!AC16/'LC Triangle'!AB16,"")</f>
        <v/>
      </c>
      <c r="AC16" s="11">
        <f>IF('LC Triangle'!AC16&gt;0,'LC Triangle'!AD16/'LC Triangle'!AC16,"")</f>
        <v/>
      </c>
      <c r="AD16" s="10">
        <f>IF('LC Triangle'!AD16&gt;0,'LC Triangle'!AE16/'LC Triangle'!AD16,"")</f>
        <v/>
      </c>
      <c r="AE16" s="10">
        <f>IF('LC Triangle'!AE16&gt;0,'LC Triangle'!AF16/'LC Triangle'!AE16,"")</f>
        <v/>
      </c>
    </row>
    <row r="17">
      <c r="A17" s="6" t="inlineStr">
        <is>
          <t>2024-04</t>
        </is>
      </c>
      <c r="B17" s="10">
        <f>IF('LC Triangle'!B17&gt;0,'LC Triangle'!C17/'LC Triangle'!B17,"")</f>
        <v/>
      </c>
      <c r="C17" s="10">
        <f>IF('LC Triangle'!C17&gt;0,'LC Triangle'!D17/'LC Triangle'!C17,"")</f>
        <v/>
      </c>
      <c r="D17" s="10">
        <f>IF('LC Triangle'!D17&gt;0,'LC Triangle'!E17/'LC Triangle'!D17,"")</f>
        <v/>
      </c>
      <c r="E17" s="10">
        <f>IF('LC Triangle'!E17&gt;0,'LC Triangle'!F17/'LC Triangle'!E17,"")</f>
        <v/>
      </c>
      <c r="F17" s="10">
        <f>IF('LC Triangle'!F17&gt;0,'LC Triangle'!G17/'LC Triangle'!F17,"")</f>
        <v/>
      </c>
      <c r="G17" s="10">
        <f>IF('LC Triangle'!G17&gt;0,'LC Triangle'!H17/'LC Triangle'!G17,"")</f>
        <v/>
      </c>
      <c r="H17" s="10">
        <f>IF('LC Triangle'!H17&gt;0,'LC Triangle'!I17/'LC Triangle'!H17,"")</f>
        <v/>
      </c>
      <c r="I17" s="10">
        <f>IF('LC Triangle'!I17&gt;0,'LC Triangle'!J17/'LC Triangle'!I17,"")</f>
        <v/>
      </c>
      <c r="J17" s="10">
        <f>IF('LC Triangle'!J17&gt;0,'LC Triangle'!K17/'LC Triangle'!J17,"")</f>
        <v/>
      </c>
      <c r="K17" s="10">
        <f>IF('LC Triangle'!K17&gt;0,'LC Triangle'!L17/'LC Triangle'!K17,"")</f>
        <v/>
      </c>
      <c r="L17" s="10">
        <f>IF('LC Triangle'!L17&gt;0,'LC Triangle'!M17/'LC Triangle'!L17,"")</f>
        <v/>
      </c>
      <c r="M17" s="10">
        <f>IF('LC Triangle'!M17&gt;0,'LC Triangle'!N17/'LC Triangle'!M17,"")</f>
        <v/>
      </c>
      <c r="N17" s="10">
        <f>IF('LC Triangle'!N17&gt;0,'LC Triangle'!O17/'LC Triangle'!N17,"")</f>
        <v/>
      </c>
      <c r="O17" s="10">
        <f>IF('LC Triangle'!O17&gt;0,'LC Triangle'!P17/'LC Triangle'!O17,"")</f>
        <v/>
      </c>
      <c r="P17" s="10">
        <f>IF('LC Triangle'!P17&gt;0,'LC Triangle'!Q17/'LC Triangle'!P17,"")</f>
        <v/>
      </c>
      <c r="Q17" s="10">
        <f>IF('LC Triangle'!Q17&gt;0,'LC Triangle'!R17/'LC Triangle'!Q17,"")</f>
        <v/>
      </c>
      <c r="R17" s="10">
        <f>IF('LC Triangle'!R17&gt;0,'LC Triangle'!S17/'LC Triangle'!R17,"")</f>
        <v/>
      </c>
      <c r="S17" s="10">
        <f>IF('LC Triangle'!S17&gt;0,'LC Triangle'!T17/'LC Triangle'!S17,"")</f>
        <v/>
      </c>
      <c r="T17" s="10">
        <f>IF('LC Triangle'!T17&gt;0,'LC Triangle'!U17/'LC Triangle'!T17,"")</f>
        <v/>
      </c>
      <c r="U17" s="10">
        <f>IF('LC Triangle'!U17&gt;0,'LC Triangle'!V17/'LC Triangle'!U17,"")</f>
        <v/>
      </c>
      <c r="V17" s="10">
        <f>IF('LC Triangle'!V17&gt;0,'LC Triangle'!W17/'LC Triangle'!V17,"")</f>
        <v/>
      </c>
      <c r="W17" s="10">
        <f>IF('LC Triangle'!W17&gt;0,'LC Triangle'!X17/'LC Triangle'!W17,"")</f>
        <v/>
      </c>
      <c r="X17" s="10">
        <f>IF('LC Triangle'!X17&gt;0,'LC Triangle'!Y17/'LC Triangle'!X17,"")</f>
        <v/>
      </c>
      <c r="Y17" s="10">
        <f>IF('LC Triangle'!Y17&gt;0,'LC Triangle'!Z17/'LC Triangle'!Y17,"")</f>
        <v/>
      </c>
      <c r="Z17" s="10">
        <f>IF('LC Triangle'!Z17&gt;0,'LC Triangle'!AA17/'LC Triangle'!Z17,"")</f>
        <v/>
      </c>
      <c r="AA17" s="11">
        <f>IF('LC Triangle'!AA17&gt;0,'LC Triangle'!AB17/'LC Triangle'!AA17,"")</f>
        <v/>
      </c>
      <c r="AB17" s="11">
        <f>IF('LC Triangle'!AB17&gt;0,'LC Triangle'!AC17/'LC Triangle'!AB17,"")</f>
        <v/>
      </c>
      <c r="AC17" s="10">
        <f>IF('LC Triangle'!AC17&gt;0,'LC Triangle'!AD17/'LC Triangle'!AC17,"")</f>
        <v/>
      </c>
      <c r="AD17" s="10">
        <f>IF('LC Triangle'!AD17&gt;0,'LC Triangle'!AE17/'LC Triangle'!AD17,"")</f>
        <v/>
      </c>
    </row>
    <row r="18">
      <c r="A18" s="6" t="inlineStr">
        <is>
          <t>2024-05</t>
        </is>
      </c>
      <c r="B18" s="10">
        <f>IF('LC Triangle'!B18&gt;0,'LC Triangle'!C18/'LC Triangle'!B18,"")</f>
        <v/>
      </c>
      <c r="C18" s="10">
        <f>IF('LC Triangle'!C18&gt;0,'LC Triangle'!D18/'LC Triangle'!C18,"")</f>
        <v/>
      </c>
      <c r="D18" s="10">
        <f>IF('LC Triangle'!D18&gt;0,'LC Triangle'!E18/'LC Triangle'!D18,"")</f>
        <v/>
      </c>
      <c r="E18" s="10">
        <f>IF('LC Triangle'!E18&gt;0,'LC Triangle'!F18/'LC Triangle'!E18,"")</f>
        <v/>
      </c>
      <c r="F18" s="10">
        <f>IF('LC Triangle'!F18&gt;0,'LC Triangle'!G18/'LC Triangle'!F18,"")</f>
        <v/>
      </c>
      <c r="G18" s="10">
        <f>IF('LC Triangle'!G18&gt;0,'LC Triangle'!H18/'LC Triangle'!G18,"")</f>
        <v/>
      </c>
      <c r="H18" s="10">
        <f>IF('LC Triangle'!H18&gt;0,'LC Triangle'!I18/'LC Triangle'!H18,"")</f>
        <v/>
      </c>
      <c r="I18" s="10">
        <f>IF('LC Triangle'!I18&gt;0,'LC Triangle'!J18/'LC Triangle'!I18,"")</f>
        <v/>
      </c>
      <c r="J18" s="10">
        <f>IF('LC Triangle'!J18&gt;0,'LC Triangle'!K18/'LC Triangle'!J18,"")</f>
        <v/>
      </c>
      <c r="K18" s="10">
        <f>IF('LC Triangle'!K18&gt;0,'LC Triangle'!L18/'LC Triangle'!K18,"")</f>
        <v/>
      </c>
      <c r="L18" s="10">
        <f>IF('LC Triangle'!L18&gt;0,'LC Triangle'!M18/'LC Triangle'!L18,"")</f>
        <v/>
      </c>
      <c r="M18" s="10">
        <f>IF('LC Triangle'!M18&gt;0,'LC Triangle'!N18/'LC Triangle'!M18,"")</f>
        <v/>
      </c>
      <c r="N18" s="10">
        <f>IF('LC Triangle'!N18&gt;0,'LC Triangle'!O18/'LC Triangle'!N18,"")</f>
        <v/>
      </c>
      <c r="O18" s="10">
        <f>IF('LC Triangle'!O18&gt;0,'LC Triangle'!P18/'LC Triangle'!O18,"")</f>
        <v/>
      </c>
      <c r="P18" s="10">
        <f>IF('LC Triangle'!P18&gt;0,'LC Triangle'!Q18/'LC Triangle'!P18,"")</f>
        <v/>
      </c>
      <c r="Q18" s="10">
        <f>IF('LC Triangle'!Q18&gt;0,'LC Triangle'!R18/'LC Triangle'!Q18,"")</f>
        <v/>
      </c>
      <c r="R18" s="10">
        <f>IF('LC Triangle'!R18&gt;0,'LC Triangle'!S18/'LC Triangle'!R18,"")</f>
        <v/>
      </c>
      <c r="S18" s="10">
        <f>IF('LC Triangle'!S18&gt;0,'LC Triangle'!T18/'LC Triangle'!S18,"")</f>
        <v/>
      </c>
      <c r="T18" s="10">
        <f>IF('LC Triangle'!T18&gt;0,'LC Triangle'!U18/'LC Triangle'!T18,"")</f>
        <v/>
      </c>
      <c r="U18" s="10">
        <f>IF('LC Triangle'!U18&gt;0,'LC Triangle'!V18/'LC Triangle'!U18,"")</f>
        <v/>
      </c>
      <c r="V18" s="10">
        <f>IF('LC Triangle'!V18&gt;0,'LC Triangle'!W18/'LC Triangle'!V18,"")</f>
        <v/>
      </c>
      <c r="W18" s="10">
        <f>IF('LC Triangle'!W18&gt;0,'LC Triangle'!X18/'LC Triangle'!W18,"")</f>
        <v/>
      </c>
      <c r="X18" s="10">
        <f>IF('LC Triangle'!X18&gt;0,'LC Triangle'!Y18/'LC Triangle'!X18,"")</f>
        <v/>
      </c>
      <c r="Y18" s="10">
        <f>IF('LC Triangle'!Y18&gt;0,'LC Triangle'!Z18/'LC Triangle'!Y18,"")</f>
        <v/>
      </c>
      <c r="Z18" s="11">
        <f>IF('LC Triangle'!Z18&gt;0,'LC Triangle'!AA18/'LC Triangle'!Z18,"")</f>
        <v/>
      </c>
      <c r="AA18" s="11">
        <f>IF('LC Triangle'!AA18&gt;0,'LC Triangle'!AB18/'LC Triangle'!AA18,"")</f>
        <v/>
      </c>
      <c r="AB18" s="10">
        <f>IF('LC Triangle'!AB18&gt;0,'LC Triangle'!AC18/'LC Triangle'!AB18,"")</f>
        <v/>
      </c>
      <c r="AC18" s="10">
        <f>IF('LC Triangle'!AC18&gt;0,'LC Triangle'!AD18/'LC Triangle'!AC18,"")</f>
        <v/>
      </c>
    </row>
    <row r="19">
      <c r="A19" s="6" t="inlineStr">
        <is>
          <t>2024-06</t>
        </is>
      </c>
      <c r="B19" s="10">
        <f>IF('LC Triangle'!B19&gt;0,'LC Triangle'!C19/'LC Triangle'!B19,"")</f>
        <v/>
      </c>
      <c r="C19" s="10">
        <f>IF('LC Triangle'!C19&gt;0,'LC Triangle'!D19/'LC Triangle'!C19,"")</f>
        <v/>
      </c>
      <c r="D19" s="10">
        <f>IF('LC Triangle'!D19&gt;0,'LC Triangle'!E19/'LC Triangle'!D19,"")</f>
        <v/>
      </c>
      <c r="E19" s="10">
        <f>IF('LC Triangle'!E19&gt;0,'LC Triangle'!F19/'LC Triangle'!E19,"")</f>
        <v/>
      </c>
      <c r="F19" s="10">
        <f>IF('LC Triangle'!F19&gt;0,'LC Triangle'!G19/'LC Triangle'!F19,"")</f>
        <v/>
      </c>
      <c r="G19" s="10">
        <f>IF('LC Triangle'!G19&gt;0,'LC Triangle'!H19/'LC Triangle'!G19,"")</f>
        <v/>
      </c>
      <c r="H19" s="10">
        <f>IF('LC Triangle'!H19&gt;0,'LC Triangle'!I19/'LC Triangle'!H19,"")</f>
        <v/>
      </c>
      <c r="I19" s="10">
        <f>IF('LC Triangle'!I19&gt;0,'LC Triangle'!J19/'LC Triangle'!I19,"")</f>
        <v/>
      </c>
      <c r="J19" s="10">
        <f>IF('LC Triangle'!J19&gt;0,'LC Triangle'!K19/'LC Triangle'!J19,"")</f>
        <v/>
      </c>
      <c r="K19" s="10">
        <f>IF('LC Triangle'!K19&gt;0,'LC Triangle'!L19/'LC Triangle'!K19,"")</f>
        <v/>
      </c>
      <c r="L19" s="10">
        <f>IF('LC Triangle'!L19&gt;0,'LC Triangle'!M19/'LC Triangle'!L19,"")</f>
        <v/>
      </c>
      <c r="M19" s="10">
        <f>IF('LC Triangle'!M19&gt;0,'LC Triangle'!N19/'LC Triangle'!M19,"")</f>
        <v/>
      </c>
      <c r="N19" s="10">
        <f>IF('LC Triangle'!N19&gt;0,'LC Triangle'!O19/'LC Triangle'!N19,"")</f>
        <v/>
      </c>
      <c r="O19" s="10">
        <f>IF('LC Triangle'!O19&gt;0,'LC Triangle'!P19/'LC Triangle'!O19,"")</f>
        <v/>
      </c>
      <c r="P19" s="10">
        <f>IF('LC Triangle'!P19&gt;0,'LC Triangle'!Q19/'LC Triangle'!P19,"")</f>
        <v/>
      </c>
      <c r="Q19" s="10">
        <f>IF('LC Triangle'!Q19&gt;0,'LC Triangle'!R19/'LC Triangle'!Q19,"")</f>
        <v/>
      </c>
      <c r="R19" s="10">
        <f>IF('LC Triangle'!R19&gt;0,'LC Triangle'!S19/'LC Triangle'!R19,"")</f>
        <v/>
      </c>
      <c r="S19" s="10">
        <f>IF('LC Triangle'!S19&gt;0,'LC Triangle'!T19/'LC Triangle'!S19,"")</f>
        <v/>
      </c>
      <c r="T19" s="10">
        <f>IF('LC Triangle'!T19&gt;0,'LC Triangle'!U19/'LC Triangle'!T19,"")</f>
        <v/>
      </c>
      <c r="U19" s="10">
        <f>IF('LC Triangle'!U19&gt;0,'LC Triangle'!V19/'LC Triangle'!U19,"")</f>
        <v/>
      </c>
      <c r="V19" s="10">
        <f>IF('LC Triangle'!V19&gt;0,'LC Triangle'!W19/'LC Triangle'!V19,"")</f>
        <v/>
      </c>
      <c r="W19" s="10">
        <f>IF('LC Triangle'!W19&gt;0,'LC Triangle'!X19/'LC Triangle'!W19,"")</f>
        <v/>
      </c>
      <c r="X19" s="10">
        <f>IF('LC Triangle'!X19&gt;0,'LC Triangle'!Y19/'LC Triangle'!X19,"")</f>
        <v/>
      </c>
      <c r="Y19" s="11">
        <f>IF('LC Triangle'!Y19&gt;0,'LC Triangle'!Z19/'LC Triangle'!Y19,"")</f>
        <v/>
      </c>
      <c r="Z19" s="11">
        <f>IF('LC Triangle'!Z19&gt;0,'LC Triangle'!AA19/'LC Triangle'!Z19,"")</f>
        <v/>
      </c>
      <c r="AA19" s="10">
        <f>IF('LC Triangle'!AA19&gt;0,'LC Triangle'!AB19/'LC Triangle'!AA19,"")</f>
        <v/>
      </c>
      <c r="AB19" s="10">
        <f>IF('LC Triangle'!AB19&gt;0,'LC Triangle'!AC19/'LC Triangle'!AB19,"")</f>
        <v/>
      </c>
    </row>
    <row r="20">
      <c r="A20" s="6" t="inlineStr">
        <is>
          <t>2024-07</t>
        </is>
      </c>
      <c r="B20" s="10">
        <f>IF('LC Triangle'!B20&gt;0,'LC Triangle'!C20/'LC Triangle'!B20,"")</f>
        <v/>
      </c>
      <c r="C20" s="10">
        <f>IF('LC Triangle'!C20&gt;0,'LC Triangle'!D20/'LC Triangle'!C20,"")</f>
        <v/>
      </c>
      <c r="D20" s="10">
        <f>IF('LC Triangle'!D20&gt;0,'LC Triangle'!E20/'LC Triangle'!D20,"")</f>
        <v/>
      </c>
      <c r="E20" s="10">
        <f>IF('LC Triangle'!E20&gt;0,'LC Triangle'!F20/'LC Triangle'!E20,"")</f>
        <v/>
      </c>
      <c r="F20" s="10">
        <f>IF('LC Triangle'!F20&gt;0,'LC Triangle'!G20/'LC Triangle'!F20,"")</f>
        <v/>
      </c>
      <c r="G20" s="10">
        <f>IF('LC Triangle'!G20&gt;0,'LC Triangle'!H20/'LC Triangle'!G20,"")</f>
        <v/>
      </c>
      <c r="H20" s="10">
        <f>IF('LC Triangle'!H20&gt;0,'LC Triangle'!I20/'LC Triangle'!H20,"")</f>
        <v/>
      </c>
      <c r="I20" s="10">
        <f>IF('LC Triangle'!I20&gt;0,'LC Triangle'!J20/'LC Triangle'!I20,"")</f>
        <v/>
      </c>
      <c r="J20" s="10">
        <f>IF('LC Triangle'!J20&gt;0,'LC Triangle'!K20/'LC Triangle'!J20,"")</f>
        <v/>
      </c>
      <c r="K20" s="10">
        <f>IF('LC Triangle'!K20&gt;0,'LC Triangle'!L20/'LC Triangle'!K20,"")</f>
        <v/>
      </c>
      <c r="L20" s="10">
        <f>IF('LC Triangle'!L20&gt;0,'LC Triangle'!M20/'LC Triangle'!L20,"")</f>
        <v/>
      </c>
      <c r="M20" s="10">
        <f>IF('LC Triangle'!M20&gt;0,'LC Triangle'!N20/'LC Triangle'!M20,"")</f>
        <v/>
      </c>
      <c r="N20" s="10">
        <f>IF('LC Triangle'!N20&gt;0,'LC Triangle'!O20/'LC Triangle'!N20,"")</f>
        <v/>
      </c>
      <c r="O20" s="10">
        <f>IF('LC Triangle'!O20&gt;0,'LC Triangle'!P20/'LC Triangle'!O20,"")</f>
        <v/>
      </c>
      <c r="P20" s="10">
        <f>IF('LC Triangle'!P20&gt;0,'LC Triangle'!Q20/'LC Triangle'!P20,"")</f>
        <v/>
      </c>
      <c r="Q20" s="10">
        <f>IF('LC Triangle'!Q20&gt;0,'LC Triangle'!R20/'LC Triangle'!Q20,"")</f>
        <v/>
      </c>
      <c r="R20" s="10">
        <f>IF('LC Triangle'!R20&gt;0,'LC Triangle'!S20/'LC Triangle'!R20,"")</f>
        <v/>
      </c>
      <c r="S20" s="10">
        <f>IF('LC Triangle'!S20&gt;0,'LC Triangle'!T20/'LC Triangle'!S20,"")</f>
        <v/>
      </c>
      <c r="T20" s="10">
        <f>IF('LC Triangle'!T20&gt;0,'LC Triangle'!U20/'LC Triangle'!T20,"")</f>
        <v/>
      </c>
      <c r="U20" s="10">
        <f>IF('LC Triangle'!U20&gt;0,'LC Triangle'!V20/'LC Triangle'!U20,"")</f>
        <v/>
      </c>
      <c r="V20" s="10">
        <f>IF('LC Triangle'!V20&gt;0,'LC Triangle'!W20/'LC Triangle'!V20,"")</f>
        <v/>
      </c>
      <c r="W20" s="10">
        <f>IF('LC Triangle'!W20&gt;0,'LC Triangle'!X20/'LC Triangle'!W20,"")</f>
        <v/>
      </c>
      <c r="X20" s="11">
        <f>IF('LC Triangle'!X20&gt;0,'LC Triangle'!Y20/'LC Triangle'!X20,"")</f>
        <v/>
      </c>
      <c r="Y20" s="11">
        <f>IF('LC Triangle'!Y20&gt;0,'LC Triangle'!Z20/'LC Triangle'!Y20,"")</f>
        <v/>
      </c>
      <c r="Z20" s="10">
        <f>IF('LC Triangle'!Z20&gt;0,'LC Triangle'!AA20/'LC Triangle'!Z20,"")</f>
        <v/>
      </c>
      <c r="AA20" s="10">
        <f>IF('LC Triangle'!AA20&gt;0,'LC Triangle'!AB20/'LC Triangle'!AA20,"")</f>
        <v/>
      </c>
    </row>
    <row r="21">
      <c r="A21" s="6" t="inlineStr">
        <is>
          <t>2024-08</t>
        </is>
      </c>
      <c r="B21" s="10">
        <f>IF('LC Triangle'!B21&gt;0,'LC Triangle'!C21/'LC Triangle'!B21,"")</f>
        <v/>
      </c>
      <c r="C21" s="10">
        <f>IF('LC Triangle'!C21&gt;0,'LC Triangle'!D21/'LC Triangle'!C21,"")</f>
        <v/>
      </c>
      <c r="D21" s="10">
        <f>IF('LC Triangle'!D21&gt;0,'LC Triangle'!E21/'LC Triangle'!D21,"")</f>
        <v/>
      </c>
      <c r="E21" s="10">
        <f>IF('LC Triangle'!E21&gt;0,'LC Triangle'!F21/'LC Triangle'!E21,"")</f>
        <v/>
      </c>
      <c r="F21" s="10">
        <f>IF('LC Triangle'!F21&gt;0,'LC Triangle'!G21/'LC Triangle'!F21,"")</f>
        <v/>
      </c>
      <c r="G21" s="10">
        <f>IF('LC Triangle'!G21&gt;0,'LC Triangle'!H21/'LC Triangle'!G21,"")</f>
        <v/>
      </c>
      <c r="H21" s="10">
        <f>IF('LC Triangle'!H21&gt;0,'LC Triangle'!I21/'LC Triangle'!H21,"")</f>
        <v/>
      </c>
      <c r="I21" s="10">
        <f>IF('LC Triangle'!I21&gt;0,'LC Triangle'!J21/'LC Triangle'!I21,"")</f>
        <v/>
      </c>
      <c r="J21" s="10">
        <f>IF('LC Triangle'!J21&gt;0,'LC Triangle'!K21/'LC Triangle'!J21,"")</f>
        <v/>
      </c>
      <c r="K21" s="10">
        <f>IF('LC Triangle'!K21&gt;0,'LC Triangle'!L21/'LC Triangle'!K21,"")</f>
        <v/>
      </c>
      <c r="L21" s="10">
        <f>IF('LC Triangle'!L21&gt;0,'LC Triangle'!M21/'LC Triangle'!L21,"")</f>
        <v/>
      </c>
      <c r="M21" s="10">
        <f>IF('LC Triangle'!M21&gt;0,'LC Triangle'!N21/'LC Triangle'!M21,"")</f>
        <v/>
      </c>
      <c r="N21" s="10">
        <f>IF('LC Triangle'!N21&gt;0,'LC Triangle'!O21/'LC Triangle'!N21,"")</f>
        <v/>
      </c>
      <c r="O21" s="10">
        <f>IF('LC Triangle'!O21&gt;0,'LC Triangle'!P21/'LC Triangle'!O21,"")</f>
        <v/>
      </c>
      <c r="P21" s="10">
        <f>IF('LC Triangle'!P21&gt;0,'LC Triangle'!Q21/'LC Triangle'!P21,"")</f>
        <v/>
      </c>
      <c r="Q21" s="10">
        <f>IF('LC Triangle'!Q21&gt;0,'LC Triangle'!R21/'LC Triangle'!Q21,"")</f>
        <v/>
      </c>
      <c r="R21" s="10">
        <f>IF('LC Triangle'!R21&gt;0,'LC Triangle'!S21/'LC Triangle'!R21,"")</f>
        <v/>
      </c>
      <c r="S21" s="10">
        <f>IF('LC Triangle'!S21&gt;0,'LC Triangle'!T21/'LC Triangle'!S21,"")</f>
        <v/>
      </c>
      <c r="T21" s="10">
        <f>IF('LC Triangle'!T21&gt;0,'LC Triangle'!U21/'LC Triangle'!T21,"")</f>
        <v/>
      </c>
      <c r="U21" s="10">
        <f>IF('LC Triangle'!U21&gt;0,'LC Triangle'!V21/'LC Triangle'!U21,"")</f>
        <v/>
      </c>
      <c r="V21" s="10">
        <f>IF('LC Triangle'!V21&gt;0,'LC Triangle'!W21/'LC Triangle'!V21,"")</f>
        <v/>
      </c>
      <c r="W21" s="11">
        <f>IF('LC Triangle'!W21&gt;0,'LC Triangle'!X21/'LC Triangle'!W21,"")</f>
        <v/>
      </c>
      <c r="X21" s="11">
        <f>IF('LC Triangle'!X21&gt;0,'LC Triangle'!Y21/'LC Triangle'!X21,"")</f>
        <v/>
      </c>
      <c r="Y21" s="10">
        <f>IF('LC Triangle'!Y21&gt;0,'LC Triangle'!Z21/'LC Triangle'!Y21,"")</f>
        <v/>
      </c>
      <c r="Z21" s="10">
        <f>IF('LC Triangle'!Z21&gt;0,'LC Triangle'!AA21/'LC Triangle'!Z21,"")</f>
        <v/>
      </c>
    </row>
    <row r="22">
      <c r="A22" s="6" t="inlineStr">
        <is>
          <t>2024-09</t>
        </is>
      </c>
      <c r="B22" s="10">
        <f>IF('LC Triangle'!B22&gt;0,'LC Triangle'!C22/'LC Triangle'!B22,"")</f>
        <v/>
      </c>
      <c r="C22" s="10">
        <f>IF('LC Triangle'!C22&gt;0,'LC Triangle'!D22/'LC Triangle'!C22,"")</f>
        <v/>
      </c>
      <c r="D22" s="10">
        <f>IF('LC Triangle'!D22&gt;0,'LC Triangle'!E22/'LC Triangle'!D22,"")</f>
        <v/>
      </c>
      <c r="E22" s="10">
        <f>IF('LC Triangle'!E22&gt;0,'LC Triangle'!F22/'LC Triangle'!E22,"")</f>
        <v/>
      </c>
      <c r="F22" s="10">
        <f>IF('LC Triangle'!F22&gt;0,'LC Triangle'!G22/'LC Triangle'!F22,"")</f>
        <v/>
      </c>
      <c r="G22" s="10">
        <f>IF('LC Triangle'!G22&gt;0,'LC Triangle'!H22/'LC Triangle'!G22,"")</f>
        <v/>
      </c>
      <c r="H22" s="10">
        <f>IF('LC Triangle'!H22&gt;0,'LC Triangle'!I22/'LC Triangle'!H22,"")</f>
        <v/>
      </c>
      <c r="I22" s="10">
        <f>IF('LC Triangle'!I22&gt;0,'LC Triangle'!J22/'LC Triangle'!I22,"")</f>
        <v/>
      </c>
      <c r="J22" s="10">
        <f>IF('LC Triangle'!J22&gt;0,'LC Triangle'!K22/'LC Triangle'!J22,"")</f>
        <v/>
      </c>
      <c r="K22" s="10">
        <f>IF('LC Triangle'!K22&gt;0,'LC Triangle'!L22/'LC Triangle'!K22,"")</f>
        <v/>
      </c>
      <c r="L22" s="10">
        <f>IF('LC Triangle'!L22&gt;0,'LC Triangle'!M22/'LC Triangle'!L22,"")</f>
        <v/>
      </c>
      <c r="M22" s="10">
        <f>IF('LC Triangle'!M22&gt;0,'LC Triangle'!N22/'LC Triangle'!M22,"")</f>
        <v/>
      </c>
      <c r="N22" s="10">
        <f>IF('LC Triangle'!N22&gt;0,'LC Triangle'!O22/'LC Triangle'!N22,"")</f>
        <v/>
      </c>
      <c r="O22" s="10">
        <f>IF('LC Triangle'!O22&gt;0,'LC Triangle'!P22/'LC Triangle'!O22,"")</f>
        <v/>
      </c>
      <c r="P22" s="10">
        <f>IF('LC Triangle'!P22&gt;0,'LC Triangle'!Q22/'LC Triangle'!P22,"")</f>
        <v/>
      </c>
      <c r="Q22" s="10">
        <f>IF('LC Triangle'!Q22&gt;0,'LC Triangle'!R22/'LC Triangle'!Q22,"")</f>
        <v/>
      </c>
      <c r="R22" s="10">
        <f>IF('LC Triangle'!R22&gt;0,'LC Triangle'!S22/'LC Triangle'!R22,"")</f>
        <v/>
      </c>
      <c r="S22" s="10">
        <f>IF('LC Triangle'!S22&gt;0,'LC Triangle'!T22/'LC Triangle'!S22,"")</f>
        <v/>
      </c>
      <c r="T22" s="10">
        <f>IF('LC Triangle'!T22&gt;0,'LC Triangle'!U22/'LC Triangle'!T22,"")</f>
        <v/>
      </c>
      <c r="U22" s="10">
        <f>IF('LC Triangle'!U22&gt;0,'LC Triangle'!V22/'LC Triangle'!U22,"")</f>
        <v/>
      </c>
      <c r="V22" s="11">
        <f>IF('LC Triangle'!V22&gt;0,'LC Triangle'!W22/'LC Triangle'!V22,"")</f>
        <v/>
      </c>
      <c r="W22" s="11">
        <f>IF('LC Triangle'!W22&gt;0,'LC Triangle'!X22/'LC Triangle'!W22,"")</f>
        <v/>
      </c>
      <c r="X22" s="10">
        <f>IF('LC Triangle'!X22&gt;0,'LC Triangle'!Y22/'LC Triangle'!X22,"")</f>
        <v/>
      </c>
      <c r="Y22" s="10">
        <f>IF('LC Triangle'!Y22&gt;0,'LC Triangle'!Z22/'LC Triangle'!Y22,"")</f>
        <v/>
      </c>
    </row>
    <row r="23">
      <c r="A23" s="6" t="inlineStr">
        <is>
          <t>2024-10</t>
        </is>
      </c>
      <c r="B23" s="10">
        <f>IF('LC Triangle'!B23&gt;0,'LC Triangle'!C23/'LC Triangle'!B23,"")</f>
        <v/>
      </c>
      <c r="C23" s="10">
        <f>IF('LC Triangle'!C23&gt;0,'LC Triangle'!D23/'LC Triangle'!C23,"")</f>
        <v/>
      </c>
      <c r="D23" s="10">
        <f>IF('LC Triangle'!D23&gt;0,'LC Triangle'!E23/'LC Triangle'!D23,"")</f>
        <v/>
      </c>
      <c r="E23" s="10">
        <f>IF('LC Triangle'!E23&gt;0,'LC Triangle'!F23/'LC Triangle'!E23,"")</f>
        <v/>
      </c>
      <c r="F23" s="10">
        <f>IF('LC Triangle'!F23&gt;0,'LC Triangle'!G23/'LC Triangle'!F23,"")</f>
        <v/>
      </c>
      <c r="G23" s="10">
        <f>IF('LC Triangle'!G23&gt;0,'LC Triangle'!H23/'LC Triangle'!G23,"")</f>
        <v/>
      </c>
      <c r="H23" s="10">
        <f>IF('LC Triangle'!H23&gt;0,'LC Triangle'!I23/'LC Triangle'!H23,"")</f>
        <v/>
      </c>
      <c r="I23" s="10">
        <f>IF('LC Triangle'!I23&gt;0,'LC Triangle'!J23/'LC Triangle'!I23,"")</f>
        <v/>
      </c>
      <c r="J23" s="10">
        <f>IF('LC Triangle'!J23&gt;0,'LC Triangle'!K23/'LC Triangle'!J23,"")</f>
        <v/>
      </c>
      <c r="K23" s="10">
        <f>IF('LC Triangle'!K23&gt;0,'LC Triangle'!L23/'LC Triangle'!K23,"")</f>
        <v/>
      </c>
      <c r="L23" s="10">
        <f>IF('LC Triangle'!L23&gt;0,'LC Triangle'!M23/'LC Triangle'!L23,"")</f>
        <v/>
      </c>
      <c r="M23" s="10">
        <f>IF('LC Triangle'!M23&gt;0,'LC Triangle'!N23/'LC Triangle'!M23,"")</f>
        <v/>
      </c>
      <c r="N23" s="10">
        <f>IF('LC Triangle'!N23&gt;0,'LC Triangle'!O23/'LC Triangle'!N23,"")</f>
        <v/>
      </c>
      <c r="O23" s="10">
        <f>IF('LC Triangle'!O23&gt;0,'LC Triangle'!P23/'LC Triangle'!O23,"")</f>
        <v/>
      </c>
      <c r="P23" s="10">
        <f>IF('LC Triangle'!P23&gt;0,'LC Triangle'!Q23/'LC Triangle'!P23,"")</f>
        <v/>
      </c>
      <c r="Q23" s="10">
        <f>IF('LC Triangle'!Q23&gt;0,'LC Triangle'!R23/'LC Triangle'!Q23,"")</f>
        <v/>
      </c>
      <c r="R23" s="10">
        <f>IF('LC Triangle'!R23&gt;0,'LC Triangle'!S23/'LC Triangle'!R23,"")</f>
        <v/>
      </c>
      <c r="S23" s="10">
        <f>IF('LC Triangle'!S23&gt;0,'LC Triangle'!T23/'LC Triangle'!S23,"")</f>
        <v/>
      </c>
      <c r="T23" s="10">
        <f>IF('LC Triangle'!T23&gt;0,'LC Triangle'!U23/'LC Triangle'!T23,"")</f>
        <v/>
      </c>
      <c r="U23" s="11">
        <f>IF('LC Triangle'!U23&gt;0,'LC Triangle'!V23/'LC Triangle'!U23,"")</f>
        <v/>
      </c>
      <c r="V23" s="11">
        <f>IF('LC Triangle'!V23&gt;0,'LC Triangle'!W23/'LC Triangle'!V23,"")</f>
        <v/>
      </c>
      <c r="W23" s="10">
        <f>IF('LC Triangle'!W23&gt;0,'LC Triangle'!X23/'LC Triangle'!W23,"")</f>
        <v/>
      </c>
      <c r="X23" s="10">
        <f>IF('LC Triangle'!X23&gt;0,'LC Triangle'!Y23/'LC Triangle'!X23,"")</f>
        <v/>
      </c>
    </row>
    <row r="24">
      <c r="A24" s="6" t="inlineStr">
        <is>
          <t>2024-11</t>
        </is>
      </c>
      <c r="B24" s="10">
        <f>IF('LC Triangle'!B24&gt;0,'LC Triangle'!C24/'LC Triangle'!B24,"")</f>
        <v/>
      </c>
      <c r="C24" s="10">
        <f>IF('LC Triangle'!C24&gt;0,'LC Triangle'!D24/'LC Triangle'!C24,"")</f>
        <v/>
      </c>
      <c r="D24" s="10">
        <f>IF('LC Triangle'!D24&gt;0,'LC Triangle'!E24/'LC Triangle'!D24,"")</f>
        <v/>
      </c>
      <c r="E24" s="10">
        <f>IF('LC Triangle'!E24&gt;0,'LC Triangle'!F24/'LC Triangle'!E24,"")</f>
        <v/>
      </c>
      <c r="F24" s="10">
        <f>IF('LC Triangle'!F24&gt;0,'LC Triangle'!G24/'LC Triangle'!F24,"")</f>
        <v/>
      </c>
      <c r="G24" s="10">
        <f>IF('LC Triangle'!G24&gt;0,'LC Triangle'!H24/'LC Triangle'!G24,"")</f>
        <v/>
      </c>
      <c r="H24" s="10">
        <f>IF('LC Triangle'!H24&gt;0,'LC Triangle'!I24/'LC Triangle'!H24,"")</f>
        <v/>
      </c>
      <c r="I24" s="10">
        <f>IF('LC Triangle'!I24&gt;0,'LC Triangle'!J24/'LC Triangle'!I24,"")</f>
        <v/>
      </c>
      <c r="J24" s="10">
        <f>IF('LC Triangle'!J24&gt;0,'LC Triangle'!K24/'LC Triangle'!J24,"")</f>
        <v/>
      </c>
      <c r="K24" s="10">
        <f>IF('LC Triangle'!K24&gt;0,'LC Triangle'!L24/'LC Triangle'!K24,"")</f>
        <v/>
      </c>
      <c r="L24" s="10">
        <f>IF('LC Triangle'!L24&gt;0,'LC Triangle'!M24/'LC Triangle'!L24,"")</f>
        <v/>
      </c>
      <c r="M24" s="10">
        <f>IF('LC Triangle'!M24&gt;0,'LC Triangle'!N24/'LC Triangle'!M24,"")</f>
        <v/>
      </c>
      <c r="N24" s="10">
        <f>IF('LC Triangle'!N24&gt;0,'LC Triangle'!O24/'LC Triangle'!N24,"")</f>
        <v/>
      </c>
      <c r="O24" s="10">
        <f>IF('LC Triangle'!O24&gt;0,'LC Triangle'!P24/'LC Triangle'!O24,"")</f>
        <v/>
      </c>
      <c r="P24" s="10">
        <f>IF('LC Triangle'!P24&gt;0,'LC Triangle'!Q24/'LC Triangle'!P24,"")</f>
        <v/>
      </c>
      <c r="Q24" s="10">
        <f>IF('LC Triangle'!Q24&gt;0,'LC Triangle'!R24/'LC Triangle'!Q24,"")</f>
        <v/>
      </c>
      <c r="R24" s="10">
        <f>IF('LC Triangle'!R24&gt;0,'LC Triangle'!S24/'LC Triangle'!R24,"")</f>
        <v/>
      </c>
      <c r="S24" s="10">
        <f>IF('LC Triangle'!S24&gt;0,'LC Triangle'!T24/'LC Triangle'!S24,"")</f>
        <v/>
      </c>
      <c r="T24" s="11">
        <f>IF('LC Triangle'!T24&gt;0,'LC Triangle'!U24/'LC Triangle'!T24,"")</f>
        <v/>
      </c>
      <c r="U24" s="11">
        <f>IF('LC Triangle'!U24&gt;0,'LC Triangle'!V24/'LC Triangle'!U24,"")</f>
        <v/>
      </c>
      <c r="V24" s="10">
        <f>IF('LC Triangle'!V24&gt;0,'LC Triangle'!W24/'LC Triangle'!V24,"")</f>
        <v/>
      </c>
      <c r="W24" s="10">
        <f>IF('LC Triangle'!W24&gt;0,'LC Triangle'!X24/'LC Triangle'!W24,"")</f>
        <v/>
      </c>
    </row>
    <row r="25">
      <c r="A25" s="6" t="inlineStr">
        <is>
          <t>2024-12</t>
        </is>
      </c>
      <c r="B25" s="10">
        <f>IF('LC Triangle'!B25&gt;0,'LC Triangle'!C25/'LC Triangle'!B25,"")</f>
        <v/>
      </c>
      <c r="C25" s="10">
        <f>IF('LC Triangle'!C25&gt;0,'LC Triangle'!D25/'LC Triangle'!C25,"")</f>
        <v/>
      </c>
      <c r="D25" s="10">
        <f>IF('LC Triangle'!D25&gt;0,'LC Triangle'!E25/'LC Triangle'!D25,"")</f>
        <v/>
      </c>
      <c r="E25" s="10">
        <f>IF('LC Triangle'!E25&gt;0,'LC Triangle'!F25/'LC Triangle'!E25,"")</f>
        <v/>
      </c>
      <c r="F25" s="10">
        <f>IF('LC Triangle'!F25&gt;0,'LC Triangle'!G25/'LC Triangle'!F25,"")</f>
        <v/>
      </c>
      <c r="G25" s="10">
        <f>IF('LC Triangle'!G25&gt;0,'LC Triangle'!H25/'LC Triangle'!G25,"")</f>
        <v/>
      </c>
      <c r="H25" s="10">
        <f>IF('LC Triangle'!H25&gt;0,'LC Triangle'!I25/'LC Triangle'!H25,"")</f>
        <v/>
      </c>
      <c r="I25" s="10">
        <f>IF('LC Triangle'!I25&gt;0,'LC Triangle'!J25/'LC Triangle'!I25,"")</f>
        <v/>
      </c>
      <c r="J25" s="10">
        <f>IF('LC Triangle'!J25&gt;0,'LC Triangle'!K25/'LC Triangle'!J25,"")</f>
        <v/>
      </c>
      <c r="K25" s="10">
        <f>IF('LC Triangle'!K25&gt;0,'LC Triangle'!L25/'LC Triangle'!K25,"")</f>
        <v/>
      </c>
      <c r="L25" s="10">
        <f>IF('LC Triangle'!L25&gt;0,'LC Triangle'!M25/'LC Triangle'!L25,"")</f>
        <v/>
      </c>
      <c r="M25" s="10">
        <f>IF('LC Triangle'!M25&gt;0,'LC Triangle'!N25/'LC Triangle'!M25,"")</f>
        <v/>
      </c>
      <c r="N25" s="10">
        <f>IF('LC Triangle'!N25&gt;0,'LC Triangle'!O25/'LC Triangle'!N25,"")</f>
        <v/>
      </c>
      <c r="O25" s="10">
        <f>IF('LC Triangle'!O25&gt;0,'LC Triangle'!P25/'LC Triangle'!O25,"")</f>
        <v/>
      </c>
      <c r="P25" s="10">
        <f>IF('LC Triangle'!P25&gt;0,'LC Triangle'!Q25/'LC Triangle'!P25,"")</f>
        <v/>
      </c>
      <c r="Q25" s="10">
        <f>IF('LC Triangle'!Q25&gt;0,'LC Triangle'!R25/'LC Triangle'!Q25,"")</f>
        <v/>
      </c>
      <c r="R25" s="10">
        <f>IF('LC Triangle'!R25&gt;0,'LC Triangle'!S25/'LC Triangle'!R25,"")</f>
        <v/>
      </c>
      <c r="S25" s="11">
        <f>IF('LC Triangle'!S25&gt;0,'LC Triangle'!T25/'LC Triangle'!S25,"")</f>
        <v/>
      </c>
      <c r="T25" s="11">
        <f>IF('LC Triangle'!T25&gt;0,'LC Triangle'!U25/'LC Triangle'!T25,"")</f>
        <v/>
      </c>
      <c r="U25" s="10">
        <f>IF('LC Triangle'!U25&gt;0,'LC Triangle'!V25/'LC Triangle'!U25,"")</f>
        <v/>
      </c>
      <c r="V25" s="10">
        <f>IF('LC Triangle'!V25&gt;0,'LC Triangle'!W25/'LC Triangle'!V25,"")</f>
        <v/>
      </c>
    </row>
    <row r="26">
      <c r="A26" s="6" t="inlineStr">
        <is>
          <t>2025-01</t>
        </is>
      </c>
      <c r="B26" s="10">
        <f>IF('LC Triangle'!B26&gt;0,'LC Triangle'!C26/'LC Triangle'!B26,"")</f>
        <v/>
      </c>
      <c r="C26" s="10">
        <f>IF('LC Triangle'!C26&gt;0,'LC Triangle'!D26/'LC Triangle'!C26,"")</f>
        <v/>
      </c>
      <c r="D26" s="10">
        <f>IF('LC Triangle'!D26&gt;0,'LC Triangle'!E26/'LC Triangle'!D26,"")</f>
        <v/>
      </c>
      <c r="E26" s="10">
        <f>IF('LC Triangle'!E26&gt;0,'LC Triangle'!F26/'LC Triangle'!E26,"")</f>
        <v/>
      </c>
      <c r="F26" s="10">
        <f>IF('LC Triangle'!F26&gt;0,'LC Triangle'!G26/'LC Triangle'!F26,"")</f>
        <v/>
      </c>
      <c r="G26" s="10">
        <f>IF('LC Triangle'!G26&gt;0,'LC Triangle'!H26/'LC Triangle'!G26,"")</f>
        <v/>
      </c>
      <c r="H26" s="10">
        <f>IF('LC Triangle'!H26&gt;0,'LC Triangle'!I26/'LC Triangle'!H26,"")</f>
        <v/>
      </c>
      <c r="I26" s="10">
        <f>IF('LC Triangle'!I26&gt;0,'LC Triangle'!J26/'LC Triangle'!I26,"")</f>
        <v/>
      </c>
      <c r="J26" s="10">
        <f>IF('LC Triangle'!J26&gt;0,'LC Triangle'!K26/'LC Triangle'!J26,"")</f>
        <v/>
      </c>
      <c r="K26" s="10">
        <f>IF('LC Triangle'!K26&gt;0,'LC Triangle'!L26/'LC Triangle'!K26,"")</f>
        <v/>
      </c>
      <c r="L26" s="10">
        <f>IF('LC Triangle'!L26&gt;0,'LC Triangle'!M26/'LC Triangle'!L26,"")</f>
        <v/>
      </c>
      <c r="M26" s="10">
        <f>IF('LC Triangle'!M26&gt;0,'LC Triangle'!N26/'LC Triangle'!M26,"")</f>
        <v/>
      </c>
      <c r="N26" s="10">
        <f>IF('LC Triangle'!N26&gt;0,'LC Triangle'!O26/'LC Triangle'!N26,"")</f>
        <v/>
      </c>
      <c r="O26" s="10">
        <f>IF('LC Triangle'!O26&gt;0,'LC Triangle'!P26/'LC Triangle'!O26,"")</f>
        <v/>
      </c>
      <c r="P26" s="10">
        <f>IF('LC Triangle'!P26&gt;0,'LC Triangle'!Q26/'LC Triangle'!P26,"")</f>
        <v/>
      </c>
      <c r="Q26" s="10">
        <f>IF('LC Triangle'!Q26&gt;0,'LC Triangle'!R26/'LC Triangle'!Q26,"")</f>
        <v/>
      </c>
      <c r="R26" s="11">
        <f>IF('LC Triangle'!R26&gt;0,'LC Triangle'!S26/'LC Triangle'!R26,"")</f>
        <v/>
      </c>
      <c r="S26" s="11">
        <f>IF('LC Triangle'!S26&gt;0,'LC Triangle'!T26/'LC Triangle'!S26,"")</f>
        <v/>
      </c>
      <c r="T26" s="10">
        <f>IF('LC Triangle'!T26&gt;0,'LC Triangle'!U26/'LC Triangle'!T26,"")</f>
        <v/>
      </c>
      <c r="U26" s="10">
        <f>IF('LC Triangle'!U26&gt;0,'LC Triangle'!V26/'LC Triangle'!U26,"")</f>
        <v/>
      </c>
    </row>
    <row r="27">
      <c r="A27" s="6" t="inlineStr">
        <is>
          <t>2025-02</t>
        </is>
      </c>
      <c r="B27" s="10">
        <f>IF('LC Triangle'!B27&gt;0,'LC Triangle'!C27/'LC Triangle'!B27,"")</f>
        <v/>
      </c>
      <c r="C27" s="10">
        <f>IF('LC Triangle'!C27&gt;0,'LC Triangle'!D27/'LC Triangle'!C27,"")</f>
        <v/>
      </c>
      <c r="D27" s="10">
        <f>IF('LC Triangle'!D27&gt;0,'LC Triangle'!E27/'LC Triangle'!D27,"")</f>
        <v/>
      </c>
      <c r="E27" s="10">
        <f>IF('LC Triangle'!E27&gt;0,'LC Triangle'!F27/'LC Triangle'!E27,"")</f>
        <v/>
      </c>
      <c r="F27" s="10">
        <f>IF('LC Triangle'!F27&gt;0,'LC Triangle'!G27/'LC Triangle'!F27,"")</f>
        <v/>
      </c>
      <c r="G27" s="10">
        <f>IF('LC Triangle'!G27&gt;0,'LC Triangle'!H27/'LC Triangle'!G27,"")</f>
        <v/>
      </c>
      <c r="H27" s="10">
        <f>IF('LC Triangle'!H27&gt;0,'LC Triangle'!I27/'LC Triangle'!H27,"")</f>
        <v/>
      </c>
      <c r="I27" s="10">
        <f>IF('LC Triangle'!I27&gt;0,'LC Triangle'!J27/'LC Triangle'!I27,"")</f>
        <v/>
      </c>
      <c r="J27" s="10">
        <f>IF('LC Triangle'!J27&gt;0,'LC Triangle'!K27/'LC Triangle'!J27,"")</f>
        <v/>
      </c>
      <c r="K27" s="10">
        <f>IF('LC Triangle'!K27&gt;0,'LC Triangle'!L27/'LC Triangle'!K27,"")</f>
        <v/>
      </c>
      <c r="L27" s="10">
        <f>IF('LC Triangle'!L27&gt;0,'LC Triangle'!M27/'LC Triangle'!L27,"")</f>
        <v/>
      </c>
      <c r="M27" s="10">
        <f>IF('LC Triangle'!M27&gt;0,'LC Triangle'!N27/'LC Triangle'!M27,"")</f>
        <v/>
      </c>
      <c r="N27" s="10">
        <f>IF('LC Triangle'!N27&gt;0,'LC Triangle'!O27/'LC Triangle'!N27,"")</f>
        <v/>
      </c>
      <c r="O27" s="10">
        <f>IF('LC Triangle'!O27&gt;0,'LC Triangle'!P27/'LC Triangle'!O27,"")</f>
        <v/>
      </c>
      <c r="P27" s="10">
        <f>IF('LC Triangle'!P27&gt;0,'LC Triangle'!Q27/'LC Triangle'!P27,"")</f>
        <v/>
      </c>
      <c r="Q27" s="11">
        <f>IF('LC Triangle'!Q27&gt;0,'LC Triangle'!R27/'LC Triangle'!Q27,"")</f>
        <v/>
      </c>
      <c r="R27" s="11">
        <f>IF('LC Triangle'!R27&gt;0,'LC Triangle'!S27/'LC Triangle'!R27,"")</f>
        <v/>
      </c>
      <c r="S27" s="10">
        <f>IF('LC Triangle'!S27&gt;0,'LC Triangle'!T27/'LC Triangle'!S27,"")</f>
        <v/>
      </c>
      <c r="T27" s="10">
        <f>IF('LC Triangle'!T27&gt;0,'LC Triangle'!U27/'LC Triangle'!T27,"")</f>
        <v/>
      </c>
    </row>
    <row r="28">
      <c r="A28" s="6" t="inlineStr">
        <is>
          <t>2025-03</t>
        </is>
      </c>
      <c r="B28" s="10">
        <f>IF('LC Triangle'!B28&gt;0,'LC Triangle'!C28/'LC Triangle'!B28,"")</f>
        <v/>
      </c>
      <c r="C28" s="10">
        <f>IF('LC Triangle'!C28&gt;0,'LC Triangle'!D28/'LC Triangle'!C28,"")</f>
        <v/>
      </c>
      <c r="D28" s="10">
        <f>IF('LC Triangle'!D28&gt;0,'LC Triangle'!E28/'LC Triangle'!D28,"")</f>
        <v/>
      </c>
      <c r="E28" s="10">
        <f>IF('LC Triangle'!E28&gt;0,'LC Triangle'!F28/'LC Triangle'!E28,"")</f>
        <v/>
      </c>
      <c r="F28" s="10">
        <f>IF('LC Triangle'!F28&gt;0,'LC Triangle'!G28/'LC Triangle'!F28,"")</f>
        <v/>
      </c>
      <c r="G28" s="10">
        <f>IF('LC Triangle'!G28&gt;0,'LC Triangle'!H28/'LC Triangle'!G28,"")</f>
        <v/>
      </c>
      <c r="H28" s="10">
        <f>IF('LC Triangle'!H28&gt;0,'LC Triangle'!I28/'LC Triangle'!H28,"")</f>
        <v/>
      </c>
      <c r="I28" s="10">
        <f>IF('LC Triangle'!I28&gt;0,'LC Triangle'!J28/'LC Triangle'!I28,"")</f>
        <v/>
      </c>
      <c r="J28" s="10">
        <f>IF('LC Triangle'!J28&gt;0,'LC Triangle'!K28/'LC Triangle'!J28,"")</f>
        <v/>
      </c>
      <c r="K28" s="10">
        <f>IF('LC Triangle'!K28&gt;0,'LC Triangle'!L28/'LC Triangle'!K28,"")</f>
        <v/>
      </c>
      <c r="L28" s="10">
        <f>IF('LC Triangle'!L28&gt;0,'LC Triangle'!M28/'LC Triangle'!L28,"")</f>
        <v/>
      </c>
      <c r="M28" s="10">
        <f>IF('LC Triangle'!M28&gt;0,'LC Triangle'!N28/'LC Triangle'!M28,"")</f>
        <v/>
      </c>
      <c r="N28" s="10">
        <f>IF('LC Triangle'!N28&gt;0,'LC Triangle'!O28/'LC Triangle'!N28,"")</f>
        <v/>
      </c>
      <c r="O28" s="10">
        <f>IF('LC Triangle'!O28&gt;0,'LC Triangle'!P28/'LC Triangle'!O28,"")</f>
        <v/>
      </c>
      <c r="P28" s="11">
        <f>IF('LC Triangle'!P28&gt;0,'LC Triangle'!Q28/'LC Triangle'!P28,"")</f>
        <v/>
      </c>
      <c r="Q28" s="11">
        <f>IF('LC Triangle'!Q28&gt;0,'LC Triangle'!R28/'LC Triangle'!Q28,"")</f>
        <v/>
      </c>
      <c r="R28" s="10">
        <f>IF('LC Triangle'!R28&gt;0,'LC Triangle'!S28/'LC Triangle'!R28,"")</f>
        <v/>
      </c>
      <c r="S28" s="10">
        <f>IF('LC Triangle'!S28&gt;0,'LC Triangle'!T28/'LC Triangle'!S28,"")</f>
        <v/>
      </c>
    </row>
    <row r="29">
      <c r="A29" s="6" t="inlineStr">
        <is>
          <t>2025-04</t>
        </is>
      </c>
      <c r="B29" s="10">
        <f>IF('LC Triangle'!B29&gt;0,'LC Triangle'!C29/'LC Triangle'!B29,"")</f>
        <v/>
      </c>
      <c r="C29" s="10">
        <f>IF('LC Triangle'!C29&gt;0,'LC Triangle'!D29/'LC Triangle'!C29,"")</f>
        <v/>
      </c>
      <c r="D29" s="10">
        <f>IF('LC Triangle'!D29&gt;0,'LC Triangle'!E29/'LC Triangle'!D29,"")</f>
        <v/>
      </c>
      <c r="E29" s="10">
        <f>IF('LC Triangle'!E29&gt;0,'LC Triangle'!F29/'LC Triangle'!E29,"")</f>
        <v/>
      </c>
      <c r="F29" s="10">
        <f>IF('LC Triangle'!F29&gt;0,'LC Triangle'!G29/'LC Triangle'!F29,"")</f>
        <v/>
      </c>
      <c r="G29" s="10">
        <f>IF('LC Triangle'!G29&gt;0,'LC Triangle'!H29/'LC Triangle'!G29,"")</f>
        <v/>
      </c>
      <c r="H29" s="10">
        <f>IF('LC Triangle'!H29&gt;0,'LC Triangle'!I29/'LC Triangle'!H29,"")</f>
        <v/>
      </c>
      <c r="I29" s="10">
        <f>IF('LC Triangle'!I29&gt;0,'LC Triangle'!J29/'LC Triangle'!I29,"")</f>
        <v/>
      </c>
      <c r="J29" s="10">
        <f>IF('LC Triangle'!J29&gt;0,'LC Triangle'!K29/'LC Triangle'!J29,"")</f>
        <v/>
      </c>
      <c r="K29" s="10">
        <f>IF('LC Triangle'!K29&gt;0,'LC Triangle'!L29/'LC Triangle'!K29,"")</f>
        <v/>
      </c>
      <c r="L29" s="10">
        <f>IF('LC Triangle'!L29&gt;0,'LC Triangle'!M29/'LC Triangle'!L29,"")</f>
        <v/>
      </c>
      <c r="M29" s="10">
        <f>IF('LC Triangle'!M29&gt;0,'LC Triangle'!N29/'LC Triangle'!M29,"")</f>
        <v/>
      </c>
      <c r="N29" s="10">
        <f>IF('LC Triangle'!N29&gt;0,'LC Triangle'!O29/'LC Triangle'!N29,"")</f>
        <v/>
      </c>
      <c r="O29" s="11">
        <f>IF('LC Triangle'!O29&gt;0,'LC Triangle'!P29/'LC Triangle'!O29,"")</f>
        <v/>
      </c>
      <c r="P29" s="11">
        <f>IF('LC Triangle'!P29&gt;0,'LC Triangle'!Q29/'LC Triangle'!P29,"")</f>
        <v/>
      </c>
      <c r="Q29" s="10">
        <f>IF('LC Triangle'!Q29&gt;0,'LC Triangle'!R29/'LC Triangle'!Q29,"")</f>
        <v/>
      </c>
      <c r="R29" s="10">
        <f>IF('LC Triangle'!R29&gt;0,'LC Triangle'!S29/'LC Triangle'!R29,"")</f>
        <v/>
      </c>
    </row>
    <row r="30">
      <c r="A30" s="6" t="inlineStr">
        <is>
          <t>2025-05</t>
        </is>
      </c>
      <c r="B30" s="10">
        <f>IF('LC Triangle'!B30&gt;0,'LC Triangle'!C30/'LC Triangle'!B30,"")</f>
        <v/>
      </c>
      <c r="C30" s="10">
        <f>IF('LC Triangle'!C30&gt;0,'LC Triangle'!D30/'LC Triangle'!C30,"")</f>
        <v/>
      </c>
      <c r="D30" s="10">
        <f>IF('LC Triangle'!D30&gt;0,'LC Triangle'!E30/'LC Triangle'!D30,"")</f>
        <v/>
      </c>
      <c r="E30" s="10">
        <f>IF('LC Triangle'!E30&gt;0,'LC Triangle'!F30/'LC Triangle'!E30,"")</f>
        <v/>
      </c>
      <c r="F30" s="10">
        <f>IF('LC Triangle'!F30&gt;0,'LC Triangle'!G30/'LC Triangle'!F30,"")</f>
        <v/>
      </c>
      <c r="G30" s="10">
        <f>IF('LC Triangle'!G30&gt;0,'LC Triangle'!H30/'LC Triangle'!G30,"")</f>
        <v/>
      </c>
      <c r="H30" s="10">
        <f>IF('LC Triangle'!H30&gt;0,'LC Triangle'!I30/'LC Triangle'!H30,"")</f>
        <v/>
      </c>
      <c r="I30" s="10">
        <f>IF('LC Triangle'!I30&gt;0,'LC Triangle'!J30/'LC Triangle'!I30,"")</f>
        <v/>
      </c>
      <c r="J30" s="10">
        <f>IF('LC Triangle'!J30&gt;0,'LC Triangle'!K30/'LC Triangle'!J30,"")</f>
        <v/>
      </c>
      <c r="K30" s="10">
        <f>IF('LC Triangle'!K30&gt;0,'LC Triangle'!L30/'LC Triangle'!K30,"")</f>
        <v/>
      </c>
      <c r="L30" s="10">
        <f>IF('LC Triangle'!L30&gt;0,'LC Triangle'!M30/'LC Triangle'!L30,"")</f>
        <v/>
      </c>
      <c r="M30" s="10">
        <f>IF('LC Triangle'!M30&gt;0,'LC Triangle'!N30/'LC Triangle'!M30,"")</f>
        <v/>
      </c>
      <c r="N30" s="11">
        <f>IF('LC Triangle'!N30&gt;0,'LC Triangle'!O30/'LC Triangle'!N30,"")</f>
        <v/>
      </c>
      <c r="O30" s="11">
        <f>IF('LC Triangle'!O30&gt;0,'LC Triangle'!P30/'LC Triangle'!O30,"")</f>
        <v/>
      </c>
      <c r="P30" s="10">
        <f>IF('LC Triangle'!P30&gt;0,'LC Triangle'!Q30/'LC Triangle'!P30,"")</f>
        <v/>
      </c>
      <c r="Q30" s="10">
        <f>IF('LC Triangle'!Q30&gt;0,'LC Triangle'!R30/'LC Triangle'!Q30,"")</f>
        <v/>
      </c>
    </row>
    <row r="31">
      <c r="A31" s="6" t="inlineStr">
        <is>
          <t>2025-06</t>
        </is>
      </c>
      <c r="B31" s="10">
        <f>IF('LC Triangle'!B31&gt;0,'LC Triangle'!C31/'LC Triangle'!B31,"")</f>
        <v/>
      </c>
      <c r="C31" s="10">
        <f>IF('LC Triangle'!C31&gt;0,'LC Triangle'!D31/'LC Triangle'!C31,"")</f>
        <v/>
      </c>
      <c r="D31" s="10">
        <f>IF('LC Triangle'!D31&gt;0,'LC Triangle'!E31/'LC Triangle'!D31,"")</f>
        <v/>
      </c>
      <c r="E31" s="10">
        <f>IF('LC Triangle'!E31&gt;0,'LC Triangle'!F31/'LC Triangle'!E31,"")</f>
        <v/>
      </c>
      <c r="F31" s="10">
        <f>IF('LC Triangle'!F31&gt;0,'LC Triangle'!G31/'LC Triangle'!F31,"")</f>
        <v/>
      </c>
      <c r="G31" s="10">
        <f>IF('LC Triangle'!G31&gt;0,'LC Triangle'!H31/'LC Triangle'!G31,"")</f>
        <v/>
      </c>
      <c r="H31" s="10">
        <f>IF('LC Triangle'!H31&gt;0,'LC Triangle'!I31/'LC Triangle'!H31,"")</f>
        <v/>
      </c>
      <c r="I31" s="10">
        <f>IF('LC Triangle'!I31&gt;0,'LC Triangle'!J31/'LC Triangle'!I31,"")</f>
        <v/>
      </c>
      <c r="J31" s="10">
        <f>IF('LC Triangle'!J31&gt;0,'LC Triangle'!K31/'LC Triangle'!J31,"")</f>
        <v/>
      </c>
      <c r="K31" s="10">
        <f>IF('LC Triangle'!K31&gt;0,'LC Triangle'!L31/'LC Triangle'!K31,"")</f>
        <v/>
      </c>
      <c r="L31" s="10">
        <f>IF('LC Triangle'!L31&gt;0,'LC Triangle'!M31/'LC Triangle'!L31,"")</f>
        <v/>
      </c>
      <c r="M31" s="11">
        <f>IF('LC Triangle'!M31&gt;0,'LC Triangle'!N31/'LC Triangle'!M31,"")</f>
        <v/>
      </c>
      <c r="N31" s="11">
        <f>IF('LC Triangle'!N31&gt;0,'LC Triangle'!O31/'LC Triangle'!N31,"")</f>
        <v/>
      </c>
      <c r="O31" s="10">
        <f>IF('LC Triangle'!O31&gt;0,'LC Triangle'!P31/'LC Triangle'!O31,"")</f>
        <v/>
      </c>
      <c r="P31" s="10">
        <f>IF('LC Triangle'!P31&gt;0,'LC Triangle'!Q31/'LC Triangle'!P31,"")</f>
        <v/>
      </c>
    </row>
    <row r="32">
      <c r="A32" s="6" t="inlineStr">
        <is>
          <t>2025-07</t>
        </is>
      </c>
      <c r="B32" s="10">
        <f>IF('LC Triangle'!B32&gt;0,'LC Triangle'!C32/'LC Triangle'!B32,"")</f>
        <v/>
      </c>
      <c r="C32" s="10">
        <f>IF('LC Triangle'!C32&gt;0,'LC Triangle'!D32/'LC Triangle'!C32,"")</f>
        <v/>
      </c>
      <c r="D32" s="10">
        <f>IF('LC Triangle'!D32&gt;0,'LC Triangle'!E32/'LC Triangle'!D32,"")</f>
        <v/>
      </c>
      <c r="E32" s="10">
        <f>IF('LC Triangle'!E32&gt;0,'LC Triangle'!F32/'LC Triangle'!E32,"")</f>
        <v/>
      </c>
      <c r="F32" s="10">
        <f>IF('LC Triangle'!F32&gt;0,'LC Triangle'!G32/'LC Triangle'!F32,"")</f>
        <v/>
      </c>
      <c r="G32" s="10">
        <f>IF('LC Triangle'!G32&gt;0,'LC Triangle'!H32/'LC Triangle'!G32,"")</f>
        <v/>
      </c>
      <c r="H32" s="10">
        <f>IF('LC Triangle'!H32&gt;0,'LC Triangle'!I32/'LC Triangle'!H32,"")</f>
        <v/>
      </c>
      <c r="I32" s="10">
        <f>IF('LC Triangle'!I32&gt;0,'LC Triangle'!J32/'LC Triangle'!I32,"")</f>
        <v/>
      </c>
      <c r="J32" s="10">
        <f>IF('LC Triangle'!J32&gt;0,'LC Triangle'!K32/'LC Triangle'!J32,"")</f>
        <v/>
      </c>
      <c r="K32" s="10">
        <f>IF('LC Triangle'!K32&gt;0,'LC Triangle'!L32/'LC Triangle'!K32,"")</f>
        <v/>
      </c>
      <c r="L32" s="11">
        <f>IF('LC Triangle'!L32&gt;0,'LC Triangle'!M32/'LC Triangle'!L32,"")</f>
        <v/>
      </c>
      <c r="M32" s="11">
        <f>IF('LC Triangle'!M32&gt;0,'LC Triangle'!N32/'LC Triangle'!M32,"")</f>
        <v/>
      </c>
      <c r="N32" s="10">
        <f>IF('LC Triangle'!N32&gt;0,'LC Triangle'!O32/'LC Triangle'!N32,"")</f>
        <v/>
      </c>
      <c r="O32" s="10">
        <f>IF('LC Triangle'!O32&gt;0,'LC Triangle'!P32/'LC Triangle'!O32,"")</f>
        <v/>
      </c>
    </row>
    <row r="33">
      <c r="A33" s="6" t="inlineStr">
        <is>
          <t>2025-08</t>
        </is>
      </c>
      <c r="B33" s="10">
        <f>IF('LC Triangle'!B33&gt;0,'LC Triangle'!C33/'LC Triangle'!B33,"")</f>
        <v/>
      </c>
      <c r="C33" s="10">
        <f>IF('LC Triangle'!C33&gt;0,'LC Triangle'!D33/'LC Triangle'!C33,"")</f>
        <v/>
      </c>
      <c r="D33" s="10">
        <f>IF('LC Triangle'!D33&gt;0,'LC Triangle'!E33/'LC Triangle'!D33,"")</f>
        <v/>
      </c>
      <c r="E33" s="10">
        <f>IF('LC Triangle'!E33&gt;0,'LC Triangle'!F33/'LC Triangle'!E33,"")</f>
        <v/>
      </c>
      <c r="F33" s="10">
        <f>IF('LC Triangle'!F33&gt;0,'LC Triangle'!G33/'LC Triangle'!F33,"")</f>
        <v/>
      </c>
      <c r="G33" s="10">
        <f>IF('LC Triangle'!G33&gt;0,'LC Triangle'!H33/'LC Triangle'!G33,"")</f>
        <v/>
      </c>
      <c r="H33" s="10">
        <f>IF('LC Triangle'!H33&gt;0,'LC Triangle'!I33/'LC Triangle'!H33,"")</f>
        <v/>
      </c>
      <c r="I33" s="10">
        <f>IF('LC Triangle'!I33&gt;0,'LC Triangle'!J33/'LC Triangle'!I33,"")</f>
        <v/>
      </c>
      <c r="J33" s="10">
        <f>IF('LC Triangle'!J33&gt;0,'LC Triangle'!K33/'LC Triangle'!J33,"")</f>
        <v/>
      </c>
      <c r="K33" s="11">
        <f>IF('LC Triangle'!K33&gt;0,'LC Triangle'!L33/'LC Triangle'!K33,"")</f>
        <v/>
      </c>
      <c r="L33" s="11">
        <f>IF('LC Triangle'!L33&gt;0,'LC Triangle'!M33/'LC Triangle'!L33,"")</f>
        <v/>
      </c>
      <c r="M33" s="10">
        <f>IF('LC Triangle'!M33&gt;0,'LC Triangle'!N33/'LC Triangle'!M33,"")</f>
        <v/>
      </c>
      <c r="N33" s="10">
        <f>IF('LC Triangle'!N33&gt;0,'LC Triangle'!O33/'LC Triangle'!N33,"")</f>
        <v/>
      </c>
    </row>
    <row r="34">
      <c r="A34" s="6" t="inlineStr">
        <is>
          <t>2025-09</t>
        </is>
      </c>
      <c r="B34" s="10">
        <f>IF('LC Triangle'!B34&gt;0,'LC Triangle'!C34/'LC Triangle'!B34,"")</f>
        <v/>
      </c>
      <c r="C34" s="10">
        <f>IF('LC Triangle'!C34&gt;0,'LC Triangle'!D34/'LC Triangle'!C34,"")</f>
        <v/>
      </c>
      <c r="D34" s="10">
        <f>IF('LC Triangle'!D34&gt;0,'LC Triangle'!E34/'LC Triangle'!D34,"")</f>
        <v/>
      </c>
      <c r="E34" s="10">
        <f>IF('LC Triangle'!E34&gt;0,'LC Triangle'!F34/'LC Triangle'!E34,"")</f>
        <v/>
      </c>
      <c r="F34" s="10">
        <f>IF('LC Triangle'!F34&gt;0,'LC Triangle'!G34/'LC Triangle'!F34,"")</f>
        <v/>
      </c>
      <c r="G34" s="10">
        <f>IF('LC Triangle'!G34&gt;0,'LC Triangle'!H34/'LC Triangle'!G34,"")</f>
        <v/>
      </c>
      <c r="H34" s="10">
        <f>IF('LC Triangle'!H34&gt;0,'LC Triangle'!I34/'LC Triangle'!H34,"")</f>
        <v/>
      </c>
      <c r="I34" s="10">
        <f>IF('LC Triangle'!I34&gt;0,'LC Triangle'!J34/'LC Triangle'!I34,"")</f>
        <v/>
      </c>
      <c r="J34" s="11">
        <f>IF('LC Triangle'!J34&gt;0,'LC Triangle'!K34/'LC Triangle'!J34,"")</f>
        <v/>
      </c>
      <c r="K34" s="11">
        <f>IF('LC Triangle'!K34&gt;0,'LC Triangle'!L34/'LC Triangle'!K34,"")</f>
        <v/>
      </c>
      <c r="L34" s="10">
        <f>IF('LC Triangle'!L34&gt;0,'LC Triangle'!M34/'LC Triangle'!L34,"")</f>
        <v/>
      </c>
      <c r="M34" s="10">
        <f>IF('LC Triangle'!M34&gt;0,'LC Triangle'!N34/'LC Triangle'!M34,"")</f>
        <v/>
      </c>
    </row>
    <row r="35">
      <c r="A35" s="6" t="inlineStr">
        <is>
          <t>2025-10</t>
        </is>
      </c>
      <c r="B35" s="10">
        <f>IF('LC Triangle'!B35&gt;0,'LC Triangle'!C35/'LC Triangle'!B35,"")</f>
        <v/>
      </c>
      <c r="C35" s="10">
        <f>IF('LC Triangle'!C35&gt;0,'LC Triangle'!D35/'LC Triangle'!C35,"")</f>
        <v/>
      </c>
      <c r="D35" s="10">
        <f>IF('LC Triangle'!D35&gt;0,'LC Triangle'!E35/'LC Triangle'!D35,"")</f>
        <v/>
      </c>
      <c r="E35" s="10">
        <f>IF('LC Triangle'!E35&gt;0,'LC Triangle'!F35/'LC Triangle'!E35,"")</f>
        <v/>
      </c>
      <c r="F35" s="10">
        <f>IF('LC Triangle'!F35&gt;0,'LC Triangle'!G35/'LC Triangle'!F35,"")</f>
        <v/>
      </c>
      <c r="G35" s="10">
        <f>IF('LC Triangle'!G35&gt;0,'LC Triangle'!H35/'LC Triangle'!G35,"")</f>
        <v/>
      </c>
      <c r="H35" s="10">
        <f>IF('LC Triangle'!H35&gt;0,'LC Triangle'!I35/'LC Triangle'!H35,"")</f>
        <v/>
      </c>
      <c r="I35" s="11">
        <f>IF('LC Triangle'!I35&gt;0,'LC Triangle'!J35/'LC Triangle'!I35,"")</f>
        <v/>
      </c>
      <c r="J35" s="11">
        <f>IF('LC Triangle'!J35&gt;0,'LC Triangle'!K35/'LC Triangle'!J35,"")</f>
        <v/>
      </c>
      <c r="K35" s="10">
        <f>IF('LC Triangle'!K35&gt;0,'LC Triangle'!L35/'LC Triangle'!K35,"")</f>
        <v/>
      </c>
      <c r="L35" s="10">
        <f>IF('LC Triangle'!L35&gt;0,'LC Triangle'!M35/'LC Triangle'!L35,"")</f>
        <v/>
      </c>
    </row>
    <row r="36">
      <c r="A36" s="6" t="inlineStr">
        <is>
          <t>2025-11</t>
        </is>
      </c>
      <c r="B36" s="10">
        <f>IF('LC Triangle'!B36&gt;0,'LC Triangle'!C36/'LC Triangle'!B36,"")</f>
        <v/>
      </c>
      <c r="C36" s="10">
        <f>IF('LC Triangle'!C36&gt;0,'LC Triangle'!D36/'LC Triangle'!C36,"")</f>
        <v/>
      </c>
      <c r="D36" s="10">
        <f>IF('LC Triangle'!D36&gt;0,'LC Triangle'!E36/'LC Triangle'!D36,"")</f>
        <v/>
      </c>
      <c r="E36" s="10">
        <f>IF('LC Triangle'!E36&gt;0,'LC Triangle'!F36/'LC Triangle'!E36,"")</f>
        <v/>
      </c>
      <c r="F36" s="10">
        <f>IF('LC Triangle'!F36&gt;0,'LC Triangle'!G36/'LC Triangle'!F36,"")</f>
        <v/>
      </c>
      <c r="G36" s="10">
        <f>IF('LC Triangle'!G36&gt;0,'LC Triangle'!H36/'LC Triangle'!G36,"")</f>
        <v/>
      </c>
      <c r="H36" s="11">
        <f>IF('LC Triangle'!H36&gt;0,'LC Triangle'!I36/'LC Triangle'!H36,"")</f>
        <v/>
      </c>
      <c r="I36" s="11">
        <f>IF('LC Triangle'!I36&gt;0,'LC Triangle'!J36/'LC Triangle'!I36,"")</f>
        <v/>
      </c>
      <c r="J36" s="10">
        <f>IF('LC Triangle'!J36&gt;0,'LC Triangle'!K36/'LC Triangle'!J36,"")</f>
        <v/>
      </c>
      <c r="K36" s="10">
        <f>IF('LC Triangle'!K36&gt;0,'LC Triangle'!L36/'LC Triangle'!K36,"")</f>
        <v/>
      </c>
    </row>
    <row r="37">
      <c r="A37" s="6" t="inlineStr">
        <is>
          <t>2025-12</t>
        </is>
      </c>
      <c r="B37" s="10">
        <f>IF('LC Triangle'!B37&gt;0,'LC Triangle'!C37/'LC Triangle'!B37,"")</f>
        <v/>
      </c>
      <c r="C37" s="10">
        <f>IF('LC Triangle'!C37&gt;0,'LC Triangle'!D37/'LC Triangle'!C37,"")</f>
        <v/>
      </c>
      <c r="D37" s="10">
        <f>IF('LC Triangle'!D37&gt;0,'LC Triangle'!E37/'LC Triangle'!D37,"")</f>
        <v/>
      </c>
      <c r="E37" s="10">
        <f>IF('LC Triangle'!E37&gt;0,'LC Triangle'!F37/'LC Triangle'!E37,"")</f>
        <v/>
      </c>
      <c r="F37" s="10">
        <f>IF('LC Triangle'!F37&gt;0,'LC Triangle'!G37/'LC Triangle'!F37,"")</f>
        <v/>
      </c>
      <c r="G37" s="11">
        <f>IF('LC Triangle'!G37&gt;0,'LC Triangle'!H37/'LC Triangle'!G37,"")</f>
        <v/>
      </c>
      <c r="H37" s="11">
        <f>IF('LC Triangle'!H37&gt;0,'LC Triangle'!I37/'LC Triangle'!H37,"")</f>
        <v/>
      </c>
      <c r="I37" s="10">
        <f>IF('LC Triangle'!I37&gt;0,'LC Triangle'!J37/'LC Triangle'!I37,"")</f>
        <v/>
      </c>
      <c r="J37" s="10">
        <f>IF('LC Triangle'!J37&gt;0,'LC Triangle'!K37/'LC Triangle'!J37,"")</f>
        <v/>
      </c>
    </row>
    <row r="38">
      <c r="A38" s="6" t="inlineStr">
        <is>
          <t>2026-01</t>
        </is>
      </c>
      <c r="B38" s="10">
        <f>IF('LC Triangle'!B38&gt;0,'LC Triangle'!C38/'LC Triangle'!B38,"")</f>
        <v/>
      </c>
      <c r="C38" s="10">
        <f>IF('LC Triangle'!C38&gt;0,'LC Triangle'!D38/'LC Triangle'!C38,"")</f>
        <v/>
      </c>
      <c r="D38" s="10">
        <f>IF('LC Triangle'!D38&gt;0,'LC Triangle'!E38/'LC Triangle'!D38,"")</f>
        <v/>
      </c>
      <c r="E38" s="10">
        <f>IF('LC Triangle'!E38&gt;0,'LC Triangle'!F38/'LC Triangle'!E38,"")</f>
        <v/>
      </c>
      <c r="F38" s="11">
        <f>IF('LC Triangle'!F38&gt;0,'LC Triangle'!G38/'LC Triangle'!F38,"")</f>
        <v/>
      </c>
      <c r="G38" s="11">
        <f>IF('LC Triangle'!G38&gt;0,'LC Triangle'!H38/'LC Triangle'!G38,"")</f>
        <v/>
      </c>
      <c r="H38" s="10">
        <f>IF('LC Triangle'!H38&gt;0,'LC Triangle'!I38/'LC Triangle'!H38,"")</f>
        <v/>
      </c>
      <c r="I38" s="10">
        <f>IF('LC Triangle'!I38&gt;0,'LC Triangle'!J38/'LC Triangle'!I38,"")</f>
        <v/>
      </c>
    </row>
    <row r="39">
      <c r="A39" s="6" t="inlineStr">
        <is>
          <t>2026-02</t>
        </is>
      </c>
      <c r="B39" s="10">
        <f>IF('LC Triangle'!B39&gt;0,'LC Triangle'!C39/'LC Triangle'!B39,"")</f>
        <v/>
      </c>
      <c r="C39" s="10">
        <f>IF('LC Triangle'!C39&gt;0,'LC Triangle'!D39/'LC Triangle'!C39,"")</f>
        <v/>
      </c>
      <c r="D39" s="10">
        <f>IF('LC Triangle'!D39&gt;0,'LC Triangle'!E39/'LC Triangle'!D39,"")</f>
        <v/>
      </c>
      <c r="E39" s="11">
        <f>IF('LC Triangle'!E39&gt;0,'LC Triangle'!F39/'LC Triangle'!E39,"")</f>
        <v/>
      </c>
      <c r="F39" s="11">
        <f>IF('LC Triangle'!F39&gt;0,'LC Triangle'!G39/'LC Triangle'!F39,"")</f>
        <v/>
      </c>
      <c r="G39" s="10">
        <f>IF('LC Triangle'!G39&gt;0,'LC Triangle'!H39/'LC Triangle'!G39,"")</f>
        <v/>
      </c>
      <c r="H39" s="10">
        <f>IF('LC Triangle'!H39&gt;0,'LC Triangle'!I39/'LC Triangle'!H39,"")</f>
        <v/>
      </c>
    </row>
    <row r="40">
      <c r="A40" s="6" t="inlineStr">
        <is>
          <t>2026-03</t>
        </is>
      </c>
      <c r="B40" s="10">
        <f>IF('LC Triangle'!B40&gt;0,'LC Triangle'!C40/'LC Triangle'!B40,"")</f>
        <v/>
      </c>
      <c r="C40" s="10">
        <f>IF('LC Triangle'!C40&gt;0,'LC Triangle'!D40/'LC Triangle'!C40,"")</f>
        <v/>
      </c>
      <c r="D40" s="11">
        <f>IF('LC Triangle'!D40&gt;0,'LC Triangle'!E40/'LC Triangle'!D40,"")</f>
        <v/>
      </c>
      <c r="E40" s="11">
        <f>IF('LC Triangle'!E40&gt;0,'LC Triangle'!F40/'LC Triangle'!E40,"")</f>
        <v/>
      </c>
      <c r="F40" s="10">
        <f>IF('LC Triangle'!F40&gt;0,'LC Triangle'!G40/'LC Triangle'!F40,"")</f>
        <v/>
      </c>
      <c r="G40" s="10">
        <f>IF('LC Triangle'!G40&gt;0,'LC Triangle'!H40/'LC Triangle'!G40,"")</f>
        <v/>
      </c>
    </row>
    <row r="41">
      <c r="A41" s="6" t="inlineStr">
        <is>
          <t>2026-04</t>
        </is>
      </c>
      <c r="B41" s="10">
        <f>IF('LC Triangle'!B41&gt;0,'LC Triangle'!C41/'LC Triangle'!B41,"")</f>
        <v/>
      </c>
      <c r="C41" s="11">
        <f>IF('LC Triangle'!C41&gt;0,'LC Triangle'!D41/'LC Triangle'!C41,"")</f>
        <v/>
      </c>
      <c r="D41" s="11">
        <f>IF('LC Triangle'!D41&gt;0,'LC Triangle'!E41/'LC Triangle'!D41,"")</f>
        <v/>
      </c>
      <c r="E41" s="10">
        <f>IF('LC Triangle'!E41&gt;0,'LC Triangle'!F41/'LC Triangle'!E41,"")</f>
        <v/>
      </c>
      <c r="F41" s="10">
        <f>IF('LC Triangle'!F41&gt;0,'LC Triangle'!G41/'LC Triangle'!F41,"")</f>
        <v/>
      </c>
    </row>
    <row r="42">
      <c r="A42" s="6" t="inlineStr">
        <is>
          <t>2026-05</t>
        </is>
      </c>
      <c r="B42" s="11">
        <f>IF('LC Triangle'!B42&gt;0,'LC Triangle'!C42/'LC Triangle'!B42,"")</f>
        <v/>
      </c>
      <c r="C42" s="11">
        <f>IF('LC Triangle'!C42&gt;0,'LC Triangle'!D42/'LC Triangle'!C42,"")</f>
        <v/>
      </c>
      <c r="D42" s="10">
        <f>IF('LC Triangle'!D42&gt;0,'LC Triangle'!E42/'LC Triangle'!D42,"")</f>
        <v/>
      </c>
      <c r="E42" s="10">
        <f>IF('LC Triangle'!E42&gt;0,'LC Triangle'!F42/'LC Triangle'!E42,"")</f>
        <v/>
      </c>
    </row>
    <row r="43">
      <c r="A43" s="6" t="inlineStr">
        <is>
          <t>2026-06</t>
        </is>
      </c>
      <c r="B43" s="11">
        <f>IF('LC Triangle'!B43&gt;0,'LC Triangle'!C43/'LC Triangle'!B43,"")</f>
        <v/>
      </c>
      <c r="C43" s="10">
        <f>IF('LC Triangle'!C43&gt;0,'LC Triangle'!D43/'LC Triangle'!C43,"")</f>
        <v/>
      </c>
      <c r="D43" s="10">
        <f>IF('LC Triangle'!D43&gt;0,'LC Triangle'!E43/'LC Triangle'!D43,"")</f>
        <v/>
      </c>
    </row>
    <row r="44">
      <c r="A44" s="6" t="inlineStr">
        <is>
          <t>2026-07</t>
        </is>
      </c>
      <c r="B44" s="10">
        <f>IF('LC Triangle'!B44&gt;0,'LC Triangle'!C44/'LC Triangle'!B44,"")</f>
        <v/>
      </c>
      <c r="C44" s="10">
        <f>IF('LC Triangle'!C44&gt;0,'LC Triangle'!D44/'LC Triangle'!C44,"")</f>
        <v/>
      </c>
    </row>
    <row r="45">
      <c r="A45" s="6" t="inlineStr">
        <is>
          <t>2026-08</t>
        </is>
      </c>
      <c r="B45" s="10">
        <f>IF('LC Triangle'!B45&gt;0,'LC Triangle'!C45/'LC Triangle'!B45,"")</f>
        <v/>
      </c>
    </row>
    <row r="46">
      <c r="A46" s="6" t="inlineStr">
        <is>
          <t>2026-09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4" customWidth="1" min="4" max="4"/>
    <col width="14" customWidth="1" min="5" max="5"/>
    <col width="60" customWidth="1" min="6" max="6"/>
  </cols>
  <sheetData>
    <row r="1">
      <c r="A1" s="3" t="inlineStr">
        <is>
          <t>Lag</t>
        </is>
      </c>
      <c r="B1" s="3" t="inlineStr">
        <is>
          <t>Volume-weighted avg (all history)</t>
        </is>
      </c>
      <c r="C1" s="3" t="inlineStr">
        <is>
          <t>Override</t>
        </is>
      </c>
      <c r="D1" s="3" t="inlineStr">
        <is>
          <t>Selected link ratio</t>
        </is>
      </c>
      <c r="E1" s="3" t="inlineStr">
        <is>
          <t>Completion factor</t>
        </is>
      </c>
      <c r="F1" s="3" t="inlineStr">
        <is>
          <t>Months used</t>
        </is>
      </c>
    </row>
    <row r="2">
      <c r="A2" t="n">
        <v>0</v>
      </c>
      <c r="B2" s="10">
        <f>SUM('LC Triangle'!C2,'LC Triangle'!C3,'LC Triangle'!C4,'LC Triangle'!C5,'LC Triangle'!C6,'LC Triangle'!C7,'LC Triangle'!C8,'LC Triangle'!C9,'LC Triangle'!C10,'LC Triangle'!C11,'LC Triangle'!C12,'LC Triangle'!C13,'LC Triangle'!C14,'LC Triangle'!C15,'LC Triangle'!C16,'LC Triangle'!C17,'LC Triangle'!C18,'LC Triangle'!C19,'LC Triangle'!C20,'LC Triangle'!C21,'LC Triangle'!C22,'LC Triangle'!C23,'LC Triangle'!C24,'LC Triangle'!C25,'LC Triangle'!C26,'LC Triangle'!C27,'LC Triangle'!C28,'LC Triangle'!C29,'LC Triangle'!C30,'LC Triangle'!C31,'LC Triangle'!C32,'LC Triangle'!C33,'LC Triangle'!C34,'LC Triangle'!C35,'LC Triangle'!C36,'LC Triangle'!C37,'LC Triangle'!C38,'LC Triangle'!C39,'LC Triangle'!C40,'LC Triangle'!C41,'LC Triangle'!C44,'LC Triangle'!C45)/SUM('LC Triangle'!B2,'LC Triangle'!B3,'LC Triangle'!B4,'LC Triangle'!B5,'LC Triangle'!B6,'LC Triangle'!B7,'LC Triangle'!B8,'LC Triangle'!B9,'LC Triangle'!B10,'LC Triangle'!B11,'LC Triangle'!B12,'LC Triangle'!B13,'LC Triangle'!B14,'LC Triangle'!B15,'LC Triangle'!B16,'LC Triangle'!B17,'LC Triangle'!B18,'LC Triangle'!B19,'LC Triangle'!B20,'LC Triangle'!B21,'LC Triangle'!B22,'LC Triangle'!B23,'LC Triangle'!B24,'LC Triangle'!B25,'LC Triangle'!B26,'LC Triangle'!B27,'LC Triangle'!B28,'LC Triangle'!B29,'LC Triangle'!B30,'LC Triangle'!B31,'LC Triangle'!B32,'LC Triangle'!B33,'LC Triangle'!B34,'LC Triangle'!B35,'LC Triangle'!B36,'LC Triangle'!B37,'LC Triangle'!B38,'LC Triangle'!B39,'LC Triangle'!B40,'LC Triangle'!B41,'LC Triangle'!B44,'LC Triangle'!B45)</f>
        <v/>
      </c>
      <c r="C2" s="12" t="n"/>
      <c r="D2" s="10">
        <f>IF(ISNUMBER(C2),C2,B2)</f>
        <v/>
      </c>
      <c r="E2" s="13">
        <f>1/PRODUCT(D2:D46)</f>
        <v/>
      </c>
      <c r="F2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2026-01, 2026-02, 2026-03, 2026-04, 2026-07, 2026-08</t>
        </is>
      </c>
    </row>
    <row r="3">
      <c r="A3" t="n">
        <v>1</v>
      </c>
      <c r="B3" s="10">
        <f>SUM('LC Triangle'!D2,'LC Triangle'!D3,'LC Triangle'!D4,'LC Triangle'!D5,'LC Triangle'!D6,'LC Triangle'!D7,'LC Triangle'!D8,'LC Triangle'!D9,'LC Triangle'!D10,'LC Triangle'!D11,'LC Triangle'!D12,'LC Triangle'!D13,'LC Triangle'!D14,'LC Triangle'!D15,'LC Triangle'!D16,'LC Triangle'!D17,'LC Triangle'!D18,'LC Triangle'!D19,'LC Triangle'!D20,'LC Triangle'!D21,'LC Triangle'!D22,'LC Triangle'!D23,'LC Triangle'!D24,'LC Triangle'!D25,'LC Triangle'!D26,'LC Triangle'!D27,'LC Triangle'!D28,'LC Triangle'!D29,'LC Triangle'!D30,'LC Triangle'!D31,'LC Triangle'!D32,'LC Triangle'!D33,'LC Triangle'!D34,'LC Triangle'!D35,'LC Triangle'!D36,'LC Triangle'!D37,'LC Triangle'!D38,'LC Triangle'!D39,'LC Triangle'!D40,'LC Triangle'!D43,'LC Triangle'!D44)/SUM('LC Triangle'!C2,'LC Triangle'!C3,'LC Triangle'!C4,'LC Triangle'!C5,'LC Triangle'!C6,'LC Triangle'!C7,'LC Triangle'!C8,'LC Triangle'!C9,'LC Triangle'!C10,'LC Triangle'!C11,'LC Triangle'!C12,'LC Triangle'!C13,'LC Triangle'!C14,'LC Triangle'!C15,'LC Triangle'!C16,'LC Triangle'!C17,'LC Triangle'!C18,'LC Triangle'!C19,'LC Triangle'!C20,'LC Triangle'!C21,'LC Triangle'!C22,'LC Triangle'!C23,'LC Triangle'!C24,'LC Triangle'!C25,'LC Triangle'!C26,'LC Triangle'!C27,'LC Triangle'!C28,'LC Triangle'!C29,'LC Triangle'!C30,'LC Triangle'!C31,'LC Triangle'!C32,'LC Triangle'!C33,'LC Triangle'!C34,'LC Triangle'!C35,'LC Triangle'!C36,'LC Triangle'!C37,'LC Triangle'!C38,'LC Triangle'!C39,'LC Triangle'!C40,'LC Triangle'!C43,'LC Triangle'!C44)</f>
        <v/>
      </c>
      <c r="C3" s="12" t="n"/>
      <c r="D3" s="10">
        <f>IF(ISNUMBER(C3),C3,B3)</f>
        <v/>
      </c>
      <c r="E3" s="13">
        <f>1/PRODUCT(D3:D46)</f>
        <v/>
      </c>
      <c r="F3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2026-01, 2026-02, 2026-03, 2026-06, 2026-07</t>
        </is>
      </c>
    </row>
    <row r="4">
      <c r="A4" t="n">
        <v>2</v>
      </c>
      <c r="B4" s="10">
        <f>SUM('LC Triangle'!E2,'LC Triangle'!E3,'LC Triangle'!E4,'LC Triangle'!E5,'LC Triangle'!E6,'LC Triangle'!E7,'LC Triangle'!E8,'LC Triangle'!E9,'LC Triangle'!E10,'LC Triangle'!E11,'LC Triangle'!E12,'LC Triangle'!E13,'LC Triangle'!E14,'LC Triangle'!E15,'LC Triangle'!E16,'LC Triangle'!E17,'LC Triangle'!E18,'LC Triangle'!E19,'LC Triangle'!E20,'LC Triangle'!E21,'LC Triangle'!E22,'LC Triangle'!E23,'LC Triangle'!E24,'LC Triangle'!E25,'LC Triangle'!E26,'LC Triangle'!E27,'LC Triangle'!E28,'LC Triangle'!E29,'LC Triangle'!E30,'LC Triangle'!E31,'LC Triangle'!E32,'LC Triangle'!E33,'LC Triangle'!E34,'LC Triangle'!E35,'LC Triangle'!E36,'LC Triangle'!E37,'LC Triangle'!E38,'LC Triangle'!E39,'LC Triangle'!E42,'LC Triangle'!E43)/SUM('LC Triangle'!D2,'LC Triangle'!D3,'LC Triangle'!D4,'LC Triangle'!D5,'LC Triangle'!D6,'LC Triangle'!D7,'LC Triangle'!D8,'LC Triangle'!D9,'LC Triangle'!D10,'LC Triangle'!D11,'LC Triangle'!D12,'LC Triangle'!D13,'LC Triangle'!D14,'LC Triangle'!D15,'LC Triangle'!D16,'LC Triangle'!D17,'LC Triangle'!D18,'LC Triangle'!D19,'LC Triangle'!D20,'LC Triangle'!D21,'LC Triangle'!D22,'LC Triangle'!D23,'LC Triangle'!D24,'LC Triangle'!D25,'LC Triangle'!D26,'LC Triangle'!D27,'LC Triangle'!D28,'LC Triangle'!D29,'LC Triangle'!D30,'LC Triangle'!D31,'LC Triangle'!D32,'LC Triangle'!D33,'LC Triangle'!D34,'LC Triangle'!D35,'LC Triangle'!D36,'LC Triangle'!D37,'LC Triangle'!D38,'LC Triangle'!D39,'LC Triangle'!D42,'LC Triangle'!D43)</f>
        <v/>
      </c>
      <c r="C4" s="12" t="n"/>
      <c r="D4" s="10">
        <f>IF(ISNUMBER(C4),C4,B4)</f>
        <v/>
      </c>
      <c r="E4" s="13">
        <f>1/PRODUCT(D4:D46)</f>
        <v/>
      </c>
      <c r="F4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2026-01, 2026-02, 2026-05, 2026-06</t>
        </is>
      </c>
    </row>
    <row r="5">
      <c r="A5" t="n">
        <v>3</v>
      </c>
      <c r="B5" s="10">
        <f>SUM('LC Triangle'!F2,'LC Triangle'!F3,'LC Triangle'!F4,'LC Triangle'!F5,'LC Triangle'!F6,'LC Triangle'!F7,'LC Triangle'!F8,'LC Triangle'!F9,'LC Triangle'!F10,'LC Triangle'!F11,'LC Triangle'!F12,'LC Triangle'!F13,'LC Triangle'!F14,'LC Triangle'!F15,'LC Triangle'!F16,'LC Triangle'!F17,'LC Triangle'!F18,'LC Triangle'!F19,'LC Triangle'!F20,'LC Triangle'!F21,'LC Triangle'!F22,'LC Triangle'!F23,'LC Triangle'!F24,'LC Triangle'!F25,'LC Triangle'!F26,'LC Triangle'!F27,'LC Triangle'!F28,'LC Triangle'!F29,'LC Triangle'!F30,'LC Triangle'!F31,'LC Triangle'!F32,'LC Triangle'!F33,'LC Triangle'!F34,'LC Triangle'!F35,'LC Triangle'!F36,'LC Triangle'!F37,'LC Triangle'!F38,'LC Triangle'!F41,'LC Triangle'!F42)/SUM('LC Triangle'!E2,'LC Triangle'!E3,'LC Triangle'!E4,'LC Triangle'!E5,'LC Triangle'!E6,'LC Triangle'!E7,'LC Triangle'!E8,'LC Triangle'!E9,'LC Triangle'!E10,'LC Triangle'!E11,'LC Triangle'!E12,'LC Triangle'!E13,'LC Triangle'!E14,'LC Triangle'!E15,'LC Triangle'!E16,'LC Triangle'!E17,'LC Triangle'!E18,'LC Triangle'!E19,'LC Triangle'!E20,'LC Triangle'!E21,'LC Triangle'!E22,'LC Triangle'!E23,'LC Triangle'!E24,'LC Triangle'!E25,'LC Triangle'!E26,'LC Triangle'!E27,'LC Triangle'!E28,'LC Triangle'!E29,'LC Triangle'!E30,'LC Triangle'!E31,'LC Triangle'!E32,'LC Triangle'!E33,'LC Triangle'!E34,'LC Triangle'!E35,'LC Triangle'!E36,'LC Triangle'!E37,'LC Triangle'!E38,'LC Triangle'!E41,'LC Triangle'!E42)</f>
        <v/>
      </c>
      <c r="C5" s="12" t="n"/>
      <c r="D5" s="10">
        <f>IF(ISNUMBER(C5),C5,B5)</f>
        <v/>
      </c>
      <c r="E5" s="13">
        <f>1/PRODUCT(D5:D46)</f>
        <v/>
      </c>
      <c r="F5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2026-01, 2026-04, 2026-05</t>
        </is>
      </c>
    </row>
    <row r="6">
      <c r="A6" t="n">
        <v>4</v>
      </c>
      <c r="B6" s="10">
        <f>SUM('LC Triangle'!G2,'LC Triangle'!G3,'LC Triangle'!G4,'LC Triangle'!G5,'LC Triangle'!G6,'LC Triangle'!G7,'LC Triangle'!G8,'LC Triangle'!G9,'LC Triangle'!G10,'LC Triangle'!G11,'LC Triangle'!G12,'LC Triangle'!G13,'LC Triangle'!G14,'LC Triangle'!G15,'LC Triangle'!G16,'LC Triangle'!G17,'LC Triangle'!G18,'LC Triangle'!G19,'LC Triangle'!G20,'LC Triangle'!G21,'LC Triangle'!G22,'LC Triangle'!G23,'LC Triangle'!G24,'LC Triangle'!G25,'LC Triangle'!G26,'LC Triangle'!G27,'LC Triangle'!G28,'LC Triangle'!G29,'LC Triangle'!G30,'LC Triangle'!G31,'LC Triangle'!G32,'LC Triangle'!G33,'LC Triangle'!G34,'LC Triangle'!G35,'LC Triangle'!G36,'LC Triangle'!G37,'LC Triangle'!G40,'LC Triangle'!G41)/SUM('LC Triangle'!F2,'LC Triangle'!F3,'LC Triangle'!F4,'LC Triangle'!F5,'LC Triangle'!F6,'LC Triangle'!F7,'LC Triangle'!F8,'LC Triangle'!F9,'LC Triangle'!F10,'LC Triangle'!F11,'LC Triangle'!F12,'LC Triangle'!F13,'LC Triangle'!F14,'LC Triangle'!F15,'LC Triangle'!F16,'LC Triangle'!F17,'LC Triangle'!F18,'LC Triangle'!F19,'LC Triangle'!F20,'LC Triangle'!F21,'LC Triangle'!F22,'LC Triangle'!F23,'LC Triangle'!F24,'LC Triangle'!F25,'LC Triangle'!F26,'LC Triangle'!F27,'LC Triangle'!F28,'LC Triangle'!F29,'LC Triangle'!F30,'LC Triangle'!F31,'LC Triangle'!F32,'LC Triangle'!F33,'LC Triangle'!F34,'LC Triangle'!F35,'LC Triangle'!F36,'LC Triangle'!F37,'LC Triangle'!F40,'LC Triangle'!F41)</f>
        <v/>
      </c>
      <c r="C6" s="12" t="n"/>
      <c r="D6" s="10">
        <f>IF(ISNUMBER(C6),C6,B6)</f>
        <v/>
      </c>
      <c r="E6" s="13">
        <f>1/PRODUCT(D6:D46)</f>
        <v/>
      </c>
      <c r="F6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2025-12, 2026-03, 2026-04</t>
        </is>
      </c>
    </row>
    <row r="7">
      <c r="A7" t="n">
        <v>5</v>
      </c>
      <c r="B7" s="10">
        <f>SUM('LC Triangle'!H2,'LC Triangle'!H3,'LC Triangle'!H4,'LC Triangle'!H5,'LC Triangle'!H6,'LC Triangle'!H7,'LC Triangle'!H8,'LC Triangle'!H9,'LC Triangle'!H10,'LC Triangle'!H11,'LC Triangle'!H12,'LC Triangle'!H13,'LC Triangle'!H14,'LC Triangle'!H15,'LC Triangle'!H16,'LC Triangle'!H17,'LC Triangle'!H18,'LC Triangle'!H19,'LC Triangle'!H20,'LC Triangle'!H21,'LC Triangle'!H22,'LC Triangle'!H23,'LC Triangle'!H24,'LC Triangle'!H25,'LC Triangle'!H26,'LC Triangle'!H27,'LC Triangle'!H28,'LC Triangle'!H29,'LC Triangle'!H30,'LC Triangle'!H31,'LC Triangle'!H32,'LC Triangle'!H33,'LC Triangle'!H34,'LC Triangle'!H35,'LC Triangle'!H36,'LC Triangle'!H39,'LC Triangle'!H40)/SUM('LC Triangle'!G2,'LC Triangle'!G3,'LC Triangle'!G4,'LC Triangle'!G5,'LC Triangle'!G6,'LC Triangle'!G7,'LC Triangle'!G8,'LC Triangle'!G9,'LC Triangle'!G10,'LC Triangle'!G11,'LC Triangle'!G12,'LC Triangle'!G13,'LC Triangle'!G14,'LC Triangle'!G15,'LC Triangle'!G16,'LC Triangle'!G17,'LC Triangle'!G18,'LC Triangle'!G19,'LC Triangle'!G20,'LC Triangle'!G21,'LC Triangle'!G22,'LC Triangle'!G23,'LC Triangle'!G24,'LC Triangle'!G25,'LC Triangle'!G26,'LC Triangle'!G27,'LC Triangle'!G28,'LC Triangle'!G29,'LC Triangle'!G30,'LC Triangle'!G31,'LC Triangle'!G32,'LC Triangle'!G33,'LC Triangle'!G34,'LC Triangle'!G35,'LC Triangle'!G36,'LC Triangle'!G39,'LC Triangle'!G40)</f>
        <v/>
      </c>
      <c r="C7" s="12" t="n"/>
      <c r="D7" s="10">
        <f>IF(ISNUMBER(C7),C7,B7)</f>
        <v/>
      </c>
      <c r="E7" s="13">
        <f>1/PRODUCT(D7:D46)</f>
        <v/>
      </c>
      <c r="F7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2025-11, 2026-02, 2026-03</t>
        </is>
      </c>
    </row>
    <row r="8">
      <c r="A8" t="n">
        <v>6</v>
      </c>
      <c r="B8" s="10">
        <f>SUM('LC Triangle'!I2,'LC Triangle'!I3,'LC Triangle'!I4,'LC Triangle'!I5,'LC Triangle'!I6,'LC Triangle'!I7,'LC Triangle'!I8,'LC Triangle'!I9,'LC Triangle'!I10,'LC Triangle'!I11,'LC Triangle'!I12,'LC Triangle'!I13,'LC Triangle'!I14,'LC Triangle'!I15,'LC Triangle'!I16,'LC Triangle'!I17,'LC Triangle'!I18,'LC Triangle'!I19,'LC Triangle'!I20,'LC Triangle'!I21,'LC Triangle'!I22,'LC Triangle'!I23,'LC Triangle'!I24,'LC Triangle'!I25,'LC Triangle'!I26,'LC Triangle'!I27,'LC Triangle'!I28,'LC Triangle'!I29,'LC Triangle'!I30,'LC Triangle'!I31,'LC Triangle'!I32,'LC Triangle'!I33,'LC Triangle'!I34,'LC Triangle'!I35,'LC Triangle'!I38,'LC Triangle'!I39)/SUM('LC Triangle'!H2,'LC Triangle'!H3,'LC Triangle'!H4,'LC Triangle'!H5,'LC Triangle'!H6,'LC Triangle'!H7,'LC Triangle'!H8,'LC Triangle'!H9,'LC Triangle'!H10,'LC Triangle'!H11,'LC Triangle'!H12,'LC Triangle'!H13,'LC Triangle'!H14,'LC Triangle'!H15,'LC Triangle'!H16,'LC Triangle'!H17,'LC Triangle'!H18,'LC Triangle'!H19,'LC Triangle'!H20,'LC Triangle'!H21,'LC Triangle'!H22,'LC Triangle'!H23,'LC Triangle'!H24,'LC Triangle'!H25,'LC Triangle'!H26,'LC Triangle'!H27,'LC Triangle'!H28,'LC Triangle'!H29,'LC Triangle'!H30,'LC Triangle'!H31,'LC Triangle'!H32,'LC Triangle'!H33,'LC Triangle'!H34,'LC Triangle'!H35,'LC Triangle'!H38,'LC Triangle'!H39)</f>
        <v/>
      </c>
      <c r="C8" s="12" t="n"/>
      <c r="D8" s="10">
        <f>IF(ISNUMBER(C8),C8,B8)</f>
        <v/>
      </c>
      <c r="E8" s="13">
        <f>1/PRODUCT(D8:D46)</f>
        <v/>
      </c>
      <c r="F8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2025-10, 2026-01, 2026-02</t>
        </is>
      </c>
    </row>
    <row r="9">
      <c r="A9" t="n">
        <v>7</v>
      </c>
      <c r="B9" s="10">
        <f>SUM('LC Triangle'!J2,'LC Triangle'!J3,'LC Triangle'!J4,'LC Triangle'!J5,'LC Triangle'!J6,'LC Triangle'!J7,'LC Triangle'!J8,'LC Triangle'!J9,'LC Triangle'!J10,'LC Triangle'!J11,'LC Triangle'!J12,'LC Triangle'!J13,'LC Triangle'!J14,'LC Triangle'!J15,'LC Triangle'!J16,'LC Triangle'!J17,'LC Triangle'!J18,'LC Triangle'!J19,'LC Triangle'!J20,'LC Triangle'!J21,'LC Triangle'!J22,'LC Triangle'!J23,'LC Triangle'!J24,'LC Triangle'!J25,'LC Triangle'!J26,'LC Triangle'!J27,'LC Triangle'!J28,'LC Triangle'!J29,'LC Triangle'!J30,'LC Triangle'!J31,'LC Triangle'!J32,'LC Triangle'!J33,'LC Triangle'!J34,'LC Triangle'!J37,'LC Triangle'!J38)/SUM('LC Triangle'!I2,'LC Triangle'!I3,'LC Triangle'!I4,'LC Triangle'!I5,'LC Triangle'!I6,'LC Triangle'!I7,'LC Triangle'!I8,'LC Triangle'!I9,'LC Triangle'!I10,'LC Triangle'!I11,'LC Triangle'!I12,'LC Triangle'!I13,'LC Triangle'!I14,'LC Triangle'!I15,'LC Triangle'!I16,'LC Triangle'!I17,'LC Triangle'!I18,'LC Triangle'!I19,'LC Triangle'!I20,'LC Triangle'!I21,'LC Triangle'!I22,'LC Triangle'!I23,'LC Triangle'!I24,'LC Triangle'!I25,'LC Triangle'!I26,'LC Triangle'!I27,'LC Triangle'!I28,'LC Triangle'!I29,'LC Triangle'!I30,'LC Triangle'!I31,'LC Triangle'!I32,'LC Triangle'!I33,'LC Triangle'!I34,'LC Triangle'!I37,'LC Triangle'!I38)</f>
        <v/>
      </c>
      <c r="C9" s="12" t="n"/>
      <c r="D9" s="10">
        <f>IF(ISNUMBER(C9),C9,B9)</f>
        <v/>
      </c>
      <c r="E9" s="13">
        <f>1/PRODUCT(D9:D46)</f>
        <v/>
      </c>
      <c r="F9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2025-09, 2025-12, 2026-01</t>
        </is>
      </c>
    </row>
    <row r="10">
      <c r="A10" t="n">
        <v>8</v>
      </c>
      <c r="B10" s="10">
        <f>SUM('LC Triangle'!K2,'LC Triangle'!K3,'LC Triangle'!K4,'LC Triangle'!K5,'LC Triangle'!K6,'LC Triangle'!K7,'LC Triangle'!K8,'LC Triangle'!K9,'LC Triangle'!K10,'LC Triangle'!K11,'LC Triangle'!K12,'LC Triangle'!K13,'LC Triangle'!K14,'LC Triangle'!K15,'LC Triangle'!K16,'LC Triangle'!K17,'LC Triangle'!K18,'LC Triangle'!K19,'LC Triangle'!K20,'LC Triangle'!K21,'LC Triangle'!K22,'LC Triangle'!K23,'LC Triangle'!K24,'LC Triangle'!K25,'LC Triangle'!K26,'LC Triangle'!K27,'LC Triangle'!K28,'LC Triangle'!K29,'LC Triangle'!K30,'LC Triangle'!K31,'LC Triangle'!K32,'LC Triangle'!K33,'LC Triangle'!K36,'LC Triangle'!K37)/SUM('LC Triangle'!J2,'LC Triangle'!J3,'LC Triangle'!J4,'LC Triangle'!J5,'LC Triangle'!J6,'LC Triangle'!J7,'LC Triangle'!J8,'LC Triangle'!J9,'LC Triangle'!J10,'LC Triangle'!J11,'LC Triangle'!J12,'LC Triangle'!J13,'LC Triangle'!J14,'LC Triangle'!J15,'LC Triangle'!J16,'LC Triangle'!J17,'LC Triangle'!J18,'LC Triangle'!J19,'LC Triangle'!J20,'LC Triangle'!J21,'LC Triangle'!J22,'LC Triangle'!J23,'LC Triangle'!J24,'LC Triangle'!J25,'LC Triangle'!J26,'LC Triangle'!J27,'LC Triangle'!J28,'LC Triangle'!J29,'LC Triangle'!J30,'LC Triangle'!J31,'LC Triangle'!J32,'LC Triangle'!J33,'LC Triangle'!J36,'LC Triangle'!J37)</f>
        <v/>
      </c>
      <c r="C10" s="12" t="n"/>
      <c r="D10" s="10">
        <f>IF(ISNUMBER(C10),C10,B10)</f>
        <v/>
      </c>
      <c r="E10" s="13">
        <f>1/PRODUCT(D10:D46)</f>
        <v/>
      </c>
      <c r="F10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2025-08, 2025-11, 2025-12</t>
        </is>
      </c>
    </row>
    <row r="11">
      <c r="A11" t="n">
        <v>9</v>
      </c>
      <c r="B11" s="10">
        <f>SUM('LC Triangle'!L2,'LC Triangle'!L3,'LC Triangle'!L4,'LC Triangle'!L5,'LC Triangle'!L6,'LC Triangle'!L7,'LC Triangle'!L8,'LC Triangle'!L9,'LC Triangle'!L10,'LC Triangle'!L11,'LC Triangle'!L12,'LC Triangle'!L13,'LC Triangle'!L14,'LC Triangle'!L15,'LC Triangle'!L16,'LC Triangle'!L17,'LC Triangle'!L18,'LC Triangle'!L19,'LC Triangle'!L20,'LC Triangle'!L21,'LC Triangle'!L22,'LC Triangle'!L23,'LC Triangle'!L24,'LC Triangle'!L25,'LC Triangle'!L26,'LC Triangle'!L27,'LC Triangle'!L28,'LC Triangle'!L29,'LC Triangle'!L30,'LC Triangle'!L31,'LC Triangle'!L32,'LC Triangle'!L35,'LC Triangle'!L36)/SUM('LC Triangle'!K2,'LC Triangle'!K3,'LC Triangle'!K4,'LC Triangle'!K5,'LC Triangle'!K6,'LC Triangle'!K7,'LC Triangle'!K8,'LC Triangle'!K9,'LC Triangle'!K10,'LC Triangle'!K11,'LC Triangle'!K12,'LC Triangle'!K13,'LC Triangle'!K14,'LC Triangle'!K15,'LC Triangle'!K16,'LC Triangle'!K17,'LC Triangle'!K18,'LC Triangle'!K19,'LC Triangle'!K20,'LC Triangle'!K21,'LC Triangle'!K22,'LC Triangle'!K23,'LC Triangle'!K24,'LC Triangle'!K25,'LC Triangle'!K26,'LC Triangle'!K27,'LC Triangle'!K28,'LC Triangle'!K29,'LC Triangle'!K30,'LC Triangle'!K31,'LC Triangle'!K32,'LC Triangle'!K35,'LC Triangle'!K36)</f>
        <v/>
      </c>
      <c r="C11" s="12" t="n"/>
      <c r="D11" s="10">
        <f>IF(ISNUMBER(C11),C11,B11)</f>
        <v/>
      </c>
      <c r="E11" s="13">
        <f>1/PRODUCT(D11:D46)</f>
        <v/>
      </c>
      <c r="F11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2025-07, 2025-10, 2025-11</t>
        </is>
      </c>
    </row>
    <row r="12">
      <c r="A12" t="n">
        <v>10</v>
      </c>
      <c r="B12" s="10">
        <f>SUM('LC Triangle'!M2,'LC Triangle'!M3,'LC Triangle'!M4,'LC Triangle'!M5,'LC Triangle'!M6,'LC Triangle'!M7,'LC Triangle'!M8,'LC Triangle'!M9,'LC Triangle'!M10,'LC Triangle'!M11,'LC Triangle'!M12,'LC Triangle'!M13,'LC Triangle'!M14,'LC Triangle'!M15,'LC Triangle'!M16,'LC Triangle'!M17,'LC Triangle'!M18,'LC Triangle'!M19,'LC Triangle'!M20,'LC Triangle'!M21,'LC Triangle'!M22,'LC Triangle'!M23,'LC Triangle'!M24,'LC Triangle'!M25,'LC Triangle'!M26,'LC Triangle'!M27,'LC Triangle'!M28,'LC Triangle'!M29,'LC Triangle'!M30,'LC Triangle'!M31,'LC Triangle'!M34,'LC Triangle'!M35)/SUM('LC Triangle'!L2,'LC Triangle'!L3,'LC Triangle'!L4,'LC Triangle'!L5,'LC Triangle'!L6,'LC Triangle'!L7,'LC Triangle'!L8,'LC Triangle'!L9,'LC Triangle'!L10,'LC Triangle'!L11,'LC Triangle'!L12,'LC Triangle'!L13,'LC Triangle'!L14,'LC Triangle'!L15,'LC Triangle'!L16,'LC Triangle'!L17,'LC Triangle'!L18,'LC Triangle'!L19,'LC Triangle'!L20,'LC Triangle'!L21,'LC Triangle'!L22,'LC Triangle'!L23,'LC Triangle'!L24,'LC Triangle'!L25,'LC Triangle'!L26,'LC Triangle'!L27,'LC Triangle'!L28,'LC Triangle'!L29,'LC Triangle'!L30,'LC Triangle'!L31,'LC Triangle'!L34,'LC Triangle'!L35)</f>
        <v/>
      </c>
      <c r="C12" s="12" t="n"/>
      <c r="D12" s="10">
        <f>IF(ISNUMBER(C12),C12,B12)</f>
        <v/>
      </c>
      <c r="E12" s="13">
        <f>1/PRODUCT(D12:D46)</f>
        <v/>
      </c>
      <c r="F12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2025-06, 2025-09, 2025-10</t>
        </is>
      </c>
    </row>
    <row r="13">
      <c r="A13" t="n">
        <v>11</v>
      </c>
      <c r="B13" s="10">
        <f>SUM('LC Triangle'!N2,'LC Triangle'!N3,'LC Triangle'!N4,'LC Triangle'!N5,'LC Triangle'!N6,'LC Triangle'!N7,'LC Triangle'!N8,'LC Triangle'!N9,'LC Triangle'!N10,'LC Triangle'!N11,'LC Triangle'!N12,'LC Triangle'!N13,'LC Triangle'!N14,'LC Triangle'!N15,'LC Triangle'!N16,'LC Triangle'!N17,'LC Triangle'!N18,'LC Triangle'!N19,'LC Triangle'!N20,'LC Triangle'!N21,'LC Triangle'!N22,'LC Triangle'!N23,'LC Triangle'!N24,'LC Triangle'!N25,'LC Triangle'!N26,'LC Triangle'!N27,'LC Triangle'!N28,'LC Triangle'!N29,'LC Triangle'!N30,'LC Triangle'!N33,'LC Triangle'!N34)/SUM('LC Triangle'!M2,'LC Triangle'!M3,'LC Triangle'!M4,'LC Triangle'!M5,'LC Triangle'!M6,'LC Triangle'!M7,'LC Triangle'!M8,'LC Triangle'!M9,'LC Triangle'!M10,'LC Triangle'!M11,'LC Triangle'!M12,'LC Triangle'!M13,'LC Triangle'!M14,'LC Triangle'!M15,'LC Triangle'!M16,'LC Triangle'!M17,'LC Triangle'!M18,'LC Triangle'!M19,'LC Triangle'!M20,'LC Triangle'!M21,'LC Triangle'!M22,'LC Triangle'!M23,'LC Triangle'!M24,'LC Triangle'!M25,'LC Triangle'!M26,'LC Triangle'!M27,'LC Triangle'!M28,'LC Triangle'!M29,'LC Triangle'!M30,'LC Triangle'!M33,'LC Triangle'!M34)</f>
        <v/>
      </c>
      <c r="C13" s="12" t="n"/>
      <c r="D13" s="10">
        <f>IF(ISNUMBER(C13),C13,B13)</f>
        <v/>
      </c>
      <c r="E13" s="13">
        <f>1/PRODUCT(D13:D46)</f>
        <v/>
      </c>
      <c r="F13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2025-05, 2025-08, 2025-09</t>
        </is>
      </c>
    </row>
    <row r="14">
      <c r="A14" t="n">
        <v>12</v>
      </c>
      <c r="B14" s="10">
        <f>SUM('LC Triangle'!O2,'LC Triangle'!O3,'LC Triangle'!O4,'LC Triangle'!O5,'LC Triangle'!O6,'LC Triangle'!O7,'LC Triangle'!O8,'LC Triangle'!O9,'LC Triangle'!O10,'LC Triangle'!O11,'LC Triangle'!O12,'LC Triangle'!O13,'LC Triangle'!O14,'LC Triangle'!O15,'LC Triangle'!O16,'LC Triangle'!O17,'LC Triangle'!O18,'LC Triangle'!O19,'LC Triangle'!O20,'LC Triangle'!O21,'LC Triangle'!O22,'LC Triangle'!O23,'LC Triangle'!O24,'LC Triangle'!O25,'LC Triangle'!O26,'LC Triangle'!O27,'LC Triangle'!O28,'LC Triangle'!O29,'LC Triangle'!O32,'LC Triangle'!O33)/SUM('LC Triangle'!N2,'LC Triangle'!N3,'LC Triangle'!N4,'LC Triangle'!N5,'LC Triangle'!N6,'LC Triangle'!N7,'LC Triangle'!N8,'LC Triangle'!N9,'LC Triangle'!N10,'LC Triangle'!N11,'LC Triangle'!N12,'LC Triangle'!N13,'LC Triangle'!N14,'LC Triangle'!N15,'LC Triangle'!N16,'LC Triangle'!N17,'LC Triangle'!N18,'LC Triangle'!N19,'LC Triangle'!N20,'LC Triangle'!N21,'LC Triangle'!N22,'LC Triangle'!N23,'LC Triangle'!N24,'LC Triangle'!N25,'LC Triangle'!N26,'LC Triangle'!N27,'LC Triangle'!N28,'LC Triangle'!N29,'LC Triangle'!N32,'LC Triangle'!N33)</f>
        <v/>
      </c>
      <c r="C14" s="12" t="n"/>
      <c r="D14" s="10">
        <f>IF(ISNUMBER(C14),C14,B14)</f>
        <v/>
      </c>
      <c r="E14" s="13">
        <f>1/PRODUCT(D14:D46)</f>
        <v/>
      </c>
      <c r="F14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2025-04, 2025-07, 2025-08</t>
        </is>
      </c>
    </row>
    <row r="15">
      <c r="A15" t="n">
        <v>13</v>
      </c>
      <c r="B15" s="10">
        <f>SUM('LC Triangle'!P2,'LC Triangle'!P3,'LC Triangle'!P4,'LC Triangle'!P5,'LC Triangle'!P6,'LC Triangle'!P7,'LC Triangle'!P8,'LC Triangle'!P9,'LC Triangle'!P10,'LC Triangle'!P11,'LC Triangle'!P12,'LC Triangle'!P13,'LC Triangle'!P14,'LC Triangle'!P15,'LC Triangle'!P16,'LC Triangle'!P17,'LC Triangle'!P18,'LC Triangle'!P19,'LC Triangle'!P20,'LC Triangle'!P21,'LC Triangle'!P22,'LC Triangle'!P23,'LC Triangle'!P24,'LC Triangle'!P25,'LC Triangle'!P26,'LC Triangle'!P27,'LC Triangle'!P28,'LC Triangle'!P31,'LC Triangle'!P32)/SUM('LC Triangle'!O2,'LC Triangle'!O3,'LC Triangle'!O4,'LC Triangle'!O5,'LC Triangle'!O6,'LC Triangle'!O7,'LC Triangle'!O8,'LC Triangle'!O9,'LC Triangle'!O10,'LC Triangle'!O11,'LC Triangle'!O12,'LC Triangle'!O13,'LC Triangle'!O14,'LC Triangle'!O15,'LC Triangle'!O16,'LC Triangle'!O17,'LC Triangle'!O18,'LC Triangle'!O19,'LC Triangle'!O20,'LC Triangle'!O21,'LC Triangle'!O22,'LC Triangle'!O23,'LC Triangle'!O24,'LC Triangle'!O25,'LC Triangle'!O26,'LC Triangle'!O27,'LC Triangle'!O28,'LC Triangle'!O31,'LC Triangle'!O32)</f>
        <v/>
      </c>
      <c r="C15" s="12" t="n"/>
      <c r="D15" s="10">
        <f>IF(ISNUMBER(C15),C15,B15)</f>
        <v/>
      </c>
      <c r="E15" s="13">
        <f>1/PRODUCT(D15:D46)</f>
        <v/>
      </c>
      <c r="F15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2025-03, 2025-06, 2025-07</t>
        </is>
      </c>
    </row>
    <row r="16">
      <c r="A16" t="n">
        <v>14</v>
      </c>
      <c r="B16" s="10">
        <f>SUM('LC Triangle'!Q2,'LC Triangle'!Q3,'LC Triangle'!Q4,'LC Triangle'!Q5,'LC Triangle'!Q6,'LC Triangle'!Q7,'LC Triangle'!Q8,'LC Triangle'!Q9,'LC Triangle'!Q10,'LC Triangle'!Q11,'LC Triangle'!Q12,'LC Triangle'!Q13,'LC Triangle'!Q14,'LC Triangle'!Q15,'LC Triangle'!Q16,'LC Triangle'!Q17,'LC Triangle'!Q18,'LC Triangle'!Q19,'LC Triangle'!Q20,'LC Triangle'!Q21,'LC Triangle'!Q22,'LC Triangle'!Q23,'LC Triangle'!Q24,'LC Triangle'!Q25,'LC Triangle'!Q26,'LC Triangle'!Q27,'LC Triangle'!Q30,'LC Triangle'!Q31)/SUM('LC Triangle'!P2,'LC Triangle'!P3,'LC Triangle'!P4,'LC Triangle'!P5,'LC Triangle'!P6,'LC Triangle'!P7,'LC Triangle'!P8,'LC Triangle'!P9,'LC Triangle'!P10,'LC Triangle'!P11,'LC Triangle'!P12,'LC Triangle'!P13,'LC Triangle'!P14,'LC Triangle'!P15,'LC Triangle'!P16,'LC Triangle'!P17,'LC Triangle'!P18,'LC Triangle'!P19,'LC Triangle'!P20,'LC Triangle'!P21,'LC Triangle'!P22,'LC Triangle'!P23,'LC Triangle'!P24,'LC Triangle'!P25,'LC Triangle'!P26,'LC Triangle'!P27,'LC Triangle'!P30,'LC Triangle'!P31)</f>
        <v/>
      </c>
      <c r="C16" s="12" t="n"/>
      <c r="D16" s="10">
        <f>IF(ISNUMBER(C16),C16,B16)</f>
        <v/>
      </c>
      <c r="E16" s="13">
        <f>1/PRODUCT(D16:D46)</f>
        <v/>
      </c>
      <c r="F16" t="inlineStr">
        <is>
          <t>2023-01, 2023-02, 2023-03, 2023-04, 2023-05, 2023-06, 2023-07, 2023-08, 2023-09, 2023-10, 2023-11, 2023-12, 2024-01, 2024-02, 2024-03, 2024-04, 2024-05, 2024-06, 2024-07, 2024-08, 2024-09, 2024-10, 2024-11, 2024-12, 2025-01, 2025-02, 2025-05, 2025-06</t>
        </is>
      </c>
    </row>
    <row r="17">
      <c r="A17" t="n">
        <v>15</v>
      </c>
      <c r="B17" s="10">
        <f>SUM('LC Triangle'!R2,'LC Triangle'!R3,'LC Triangle'!R4,'LC Triangle'!R5,'LC Triangle'!R6,'LC Triangle'!R7,'LC Triangle'!R8,'LC Triangle'!R9,'LC Triangle'!R10,'LC Triangle'!R11,'LC Triangle'!R12,'LC Triangle'!R13,'LC Triangle'!R14,'LC Triangle'!R15,'LC Triangle'!R16,'LC Triangle'!R17,'LC Triangle'!R18,'LC Triangle'!R19,'LC Triangle'!R20,'LC Triangle'!R21,'LC Triangle'!R22,'LC Triangle'!R23,'LC Triangle'!R24,'LC Triangle'!R25,'LC Triangle'!R26,'LC Triangle'!R29,'LC Triangle'!R30)/SUM('LC Triangle'!Q2,'LC Triangle'!Q3,'LC Triangle'!Q4,'LC Triangle'!Q5,'LC Triangle'!Q6,'LC Triangle'!Q7,'LC Triangle'!Q8,'LC Triangle'!Q9,'LC Triangle'!Q10,'LC Triangle'!Q11,'LC Triangle'!Q12,'LC Triangle'!Q13,'LC Triangle'!Q14,'LC Triangle'!Q15,'LC Triangle'!Q16,'LC Triangle'!Q17,'LC Triangle'!Q18,'LC Triangle'!Q19,'LC Triangle'!Q20,'LC Triangle'!Q21,'LC Triangle'!Q22,'LC Triangle'!Q23,'LC Triangle'!Q24,'LC Triangle'!Q25,'LC Triangle'!Q26,'LC Triangle'!Q29,'LC Triangle'!Q30)</f>
        <v/>
      </c>
      <c r="C17" s="12" t="n"/>
      <c r="D17" s="10">
        <f>IF(ISNUMBER(C17),C17,B17)</f>
        <v/>
      </c>
      <c r="E17" s="13">
        <f>1/PRODUCT(D17:D46)</f>
        <v/>
      </c>
      <c r="F17" t="inlineStr">
        <is>
          <t>2023-01, 2023-02, 2023-03, 2023-04, 2023-05, 2023-06, 2023-07, 2023-08, 2023-09, 2023-10, 2023-11, 2023-12, 2024-01, 2024-02, 2024-03, 2024-04, 2024-05, 2024-06, 2024-07, 2024-08, 2024-09, 2024-10, 2024-11, 2024-12, 2025-01, 2025-04, 2025-05</t>
        </is>
      </c>
    </row>
    <row r="18">
      <c r="A18" t="n">
        <v>16</v>
      </c>
      <c r="B18" s="10">
        <f>SUM('LC Triangle'!S2,'LC Triangle'!S3,'LC Triangle'!S4,'LC Triangle'!S5,'LC Triangle'!S6,'LC Triangle'!S7,'LC Triangle'!S8,'LC Triangle'!S9,'LC Triangle'!S10,'LC Triangle'!S11,'LC Triangle'!S12,'LC Triangle'!S13,'LC Triangle'!S14,'LC Triangle'!S15,'LC Triangle'!S16,'LC Triangle'!S17,'LC Triangle'!S18,'LC Triangle'!S19,'LC Triangle'!S20,'LC Triangle'!S21,'LC Triangle'!S22,'LC Triangle'!S23,'LC Triangle'!S24,'LC Triangle'!S25,'LC Triangle'!S28,'LC Triangle'!S29)/SUM('LC Triangle'!R2,'LC Triangle'!R3,'LC Triangle'!R4,'LC Triangle'!R5,'LC Triangle'!R6,'LC Triangle'!R7,'LC Triangle'!R8,'LC Triangle'!R9,'LC Triangle'!R10,'LC Triangle'!R11,'LC Triangle'!R12,'LC Triangle'!R13,'LC Triangle'!R14,'LC Triangle'!R15,'LC Triangle'!R16,'LC Triangle'!R17,'LC Triangle'!R18,'LC Triangle'!R19,'LC Triangle'!R20,'LC Triangle'!R21,'LC Triangle'!R22,'LC Triangle'!R23,'LC Triangle'!R24,'LC Triangle'!R25,'LC Triangle'!R28,'LC Triangle'!R29)</f>
        <v/>
      </c>
      <c r="C18" s="12" t="n"/>
      <c r="D18" s="10">
        <f>IF(ISNUMBER(C18),C18,B18)</f>
        <v/>
      </c>
      <c r="E18" s="13">
        <f>1/PRODUCT(D18:D46)</f>
        <v/>
      </c>
      <c r="F18" t="inlineStr">
        <is>
          <t>2023-01, 2023-02, 2023-03, 2023-04, 2023-05, 2023-06, 2023-07, 2023-08, 2023-09, 2023-10, 2023-11, 2023-12, 2024-01, 2024-02, 2024-03, 2024-04, 2024-05, 2024-06, 2024-07, 2024-08, 2024-09, 2024-10, 2024-11, 2024-12, 2025-03, 2025-04</t>
        </is>
      </c>
    </row>
    <row r="19">
      <c r="A19" t="n">
        <v>17</v>
      </c>
      <c r="B19" s="10">
        <f>SUM('LC Triangle'!T2,'LC Triangle'!T3,'LC Triangle'!T4,'LC Triangle'!T5,'LC Triangle'!T6,'LC Triangle'!T7,'LC Triangle'!T8,'LC Triangle'!T9,'LC Triangle'!T10,'LC Triangle'!T11,'LC Triangle'!T12,'LC Triangle'!T13,'LC Triangle'!T14,'LC Triangle'!T15,'LC Triangle'!T16,'LC Triangle'!T17,'LC Triangle'!T18,'LC Triangle'!T19,'LC Triangle'!T20,'LC Triangle'!T21,'LC Triangle'!T22,'LC Triangle'!T23,'LC Triangle'!T24,'LC Triangle'!T27,'LC Triangle'!T28)/SUM('LC Triangle'!S2,'LC Triangle'!S3,'LC Triangle'!S4,'LC Triangle'!S5,'LC Triangle'!S6,'LC Triangle'!S7,'LC Triangle'!S8,'LC Triangle'!S9,'LC Triangle'!S10,'LC Triangle'!S11,'LC Triangle'!S12,'LC Triangle'!S13,'LC Triangle'!S14,'LC Triangle'!S15,'LC Triangle'!S16,'LC Triangle'!S17,'LC Triangle'!S18,'LC Triangle'!S19,'LC Triangle'!S20,'LC Triangle'!S21,'LC Triangle'!S22,'LC Triangle'!S23,'LC Triangle'!S24,'LC Triangle'!S27,'LC Triangle'!S28)</f>
        <v/>
      </c>
      <c r="C19" s="12" t="n"/>
      <c r="D19" s="10">
        <f>IF(ISNUMBER(C19),C19,B19)</f>
        <v/>
      </c>
      <c r="E19" s="13">
        <f>1/PRODUCT(D19:D46)</f>
        <v/>
      </c>
      <c r="F19" t="inlineStr">
        <is>
          <t>2023-01, 2023-02, 2023-03, 2023-04, 2023-05, 2023-06, 2023-07, 2023-08, 2023-09, 2023-10, 2023-11, 2023-12, 2024-01, 2024-02, 2024-03, 2024-04, 2024-05, 2024-06, 2024-07, 2024-08, 2024-09, 2024-10, 2024-11, 2025-02, 2025-03</t>
        </is>
      </c>
    </row>
    <row r="20">
      <c r="A20" t="n">
        <v>18</v>
      </c>
      <c r="B20" s="10">
        <f>SUM('LC Triangle'!U2,'LC Triangle'!U3,'LC Triangle'!U4,'LC Triangle'!U5,'LC Triangle'!U6,'LC Triangle'!U7,'LC Triangle'!U8,'LC Triangle'!U9,'LC Triangle'!U10,'LC Triangle'!U11,'LC Triangle'!U12,'LC Triangle'!U13,'LC Triangle'!U14,'LC Triangle'!U15,'LC Triangle'!U16,'LC Triangle'!U17,'LC Triangle'!U18,'LC Triangle'!U19,'LC Triangle'!U20,'LC Triangle'!U21,'LC Triangle'!U22,'LC Triangle'!U23,'LC Triangle'!U26,'LC Triangle'!U27)/SUM('LC Triangle'!T2,'LC Triangle'!T3,'LC Triangle'!T4,'LC Triangle'!T5,'LC Triangle'!T6,'LC Triangle'!T7,'LC Triangle'!T8,'LC Triangle'!T9,'LC Triangle'!T10,'LC Triangle'!T11,'LC Triangle'!T12,'LC Triangle'!T13,'LC Triangle'!T14,'LC Triangle'!T15,'LC Triangle'!T16,'LC Triangle'!T17,'LC Triangle'!T18,'LC Triangle'!T19,'LC Triangle'!T20,'LC Triangle'!T21,'LC Triangle'!T22,'LC Triangle'!T23,'LC Triangle'!T26,'LC Triangle'!T27)</f>
        <v/>
      </c>
      <c r="C20" s="12" t="n"/>
      <c r="D20" s="10">
        <f>IF(ISNUMBER(C20),C20,B20)</f>
        <v/>
      </c>
      <c r="E20" s="13">
        <f>1/PRODUCT(D20:D46)</f>
        <v/>
      </c>
      <c r="F20" t="inlineStr">
        <is>
          <t>2023-01, 2023-02, 2023-03, 2023-04, 2023-05, 2023-06, 2023-07, 2023-08, 2023-09, 2023-10, 2023-11, 2023-12, 2024-01, 2024-02, 2024-03, 2024-04, 2024-05, 2024-06, 2024-07, 2024-08, 2024-09, 2024-10, 2025-01, 2025-02</t>
        </is>
      </c>
    </row>
    <row r="21">
      <c r="A21" t="n">
        <v>19</v>
      </c>
      <c r="B21" s="10">
        <f>SUM('LC Triangle'!V2,'LC Triangle'!V3,'LC Triangle'!V4,'LC Triangle'!V5,'LC Triangle'!V6,'LC Triangle'!V7,'LC Triangle'!V8,'LC Triangle'!V9,'LC Triangle'!V10,'LC Triangle'!V11,'LC Triangle'!V12,'LC Triangle'!V13,'LC Triangle'!V14,'LC Triangle'!V15,'LC Triangle'!V16,'LC Triangle'!V17,'LC Triangle'!V18,'LC Triangle'!V19,'LC Triangle'!V20,'LC Triangle'!V21,'LC Triangle'!V22,'LC Triangle'!V25,'LC Triangle'!V26)/SUM('LC Triangle'!U2,'LC Triangle'!U3,'LC Triangle'!U4,'LC Triangle'!U5,'LC Triangle'!U6,'LC Triangle'!U7,'LC Triangle'!U8,'LC Triangle'!U9,'LC Triangle'!U10,'LC Triangle'!U11,'LC Triangle'!U12,'LC Triangle'!U13,'LC Triangle'!U14,'LC Triangle'!U15,'LC Triangle'!U16,'LC Triangle'!U17,'LC Triangle'!U18,'LC Triangle'!U19,'LC Triangle'!U20,'LC Triangle'!U21,'LC Triangle'!U22,'LC Triangle'!U25,'LC Triangle'!U26)</f>
        <v/>
      </c>
      <c r="C21" s="12" t="n"/>
      <c r="D21" s="10">
        <f>IF(ISNUMBER(C21),C21,B21)</f>
        <v/>
      </c>
      <c r="E21" s="13">
        <f>1/PRODUCT(D21:D46)</f>
        <v/>
      </c>
      <c r="F21" t="inlineStr">
        <is>
          <t>2023-01, 2023-02, 2023-03, 2023-04, 2023-05, 2023-06, 2023-07, 2023-08, 2023-09, 2023-10, 2023-11, 2023-12, 2024-01, 2024-02, 2024-03, 2024-04, 2024-05, 2024-06, 2024-07, 2024-08, 2024-09, 2024-12, 2025-01</t>
        </is>
      </c>
    </row>
    <row r="22">
      <c r="A22" t="n">
        <v>20</v>
      </c>
      <c r="B22" s="10">
        <f>SUM('LC Triangle'!W2,'LC Triangle'!W3,'LC Triangle'!W4,'LC Triangle'!W5,'LC Triangle'!W6,'LC Triangle'!W7,'LC Triangle'!W8,'LC Triangle'!W9,'LC Triangle'!W10,'LC Triangle'!W11,'LC Triangle'!W12,'LC Triangle'!W13,'LC Triangle'!W14,'LC Triangle'!W15,'LC Triangle'!W16,'LC Triangle'!W17,'LC Triangle'!W18,'LC Triangle'!W19,'LC Triangle'!W20,'LC Triangle'!W21,'LC Triangle'!W24,'LC Triangle'!W25)/SUM('LC Triangle'!V2,'LC Triangle'!V3,'LC Triangle'!V4,'LC Triangle'!V5,'LC Triangle'!V6,'LC Triangle'!V7,'LC Triangle'!V8,'LC Triangle'!V9,'LC Triangle'!V10,'LC Triangle'!V11,'LC Triangle'!V12,'LC Triangle'!V13,'LC Triangle'!V14,'LC Triangle'!V15,'LC Triangle'!V16,'LC Triangle'!V17,'LC Triangle'!V18,'LC Triangle'!V19,'LC Triangle'!V20,'LC Triangle'!V21,'LC Triangle'!V24,'LC Triangle'!V25)</f>
        <v/>
      </c>
      <c r="C22" s="12" t="n"/>
      <c r="D22" s="10">
        <f>IF(ISNUMBER(C22),C22,B22)</f>
        <v/>
      </c>
      <c r="E22" s="13">
        <f>1/PRODUCT(D22:D46)</f>
        <v/>
      </c>
      <c r="F22" t="inlineStr">
        <is>
          <t>2023-01, 2023-02, 2023-03, 2023-04, 2023-05, 2023-06, 2023-07, 2023-08, 2023-09, 2023-10, 2023-11, 2023-12, 2024-01, 2024-02, 2024-03, 2024-04, 2024-05, 2024-06, 2024-07, 2024-08, 2024-11, 2024-12</t>
        </is>
      </c>
    </row>
    <row r="23">
      <c r="A23" t="n">
        <v>21</v>
      </c>
      <c r="B23" s="10">
        <f>SUM('LC Triangle'!X2,'LC Triangle'!X3,'LC Triangle'!X4,'LC Triangle'!X5,'LC Triangle'!X6,'LC Triangle'!X7,'LC Triangle'!X8,'LC Triangle'!X9,'LC Triangle'!X10,'LC Triangle'!X11,'LC Triangle'!X12,'LC Triangle'!X13,'LC Triangle'!X14,'LC Triangle'!X15,'LC Triangle'!X16,'LC Triangle'!X17,'LC Triangle'!X18,'LC Triangle'!X19,'LC Triangle'!X20,'LC Triangle'!X23,'LC Triangle'!X24)/SUM('LC Triangle'!W2,'LC Triangle'!W3,'LC Triangle'!W4,'LC Triangle'!W5,'LC Triangle'!W6,'LC Triangle'!W7,'LC Triangle'!W8,'LC Triangle'!W9,'LC Triangle'!W10,'LC Triangle'!W11,'LC Triangle'!W12,'LC Triangle'!W13,'LC Triangle'!W14,'LC Triangle'!W15,'LC Triangle'!W16,'LC Triangle'!W17,'LC Triangle'!W18,'LC Triangle'!W19,'LC Triangle'!W20,'LC Triangle'!W23,'LC Triangle'!W24)</f>
        <v/>
      </c>
      <c r="C23" s="12" t="n"/>
      <c r="D23" s="10">
        <f>IF(ISNUMBER(C23),C23,B23)</f>
        <v/>
      </c>
      <c r="E23" s="13">
        <f>1/PRODUCT(D23:D46)</f>
        <v/>
      </c>
      <c r="F23" t="inlineStr">
        <is>
          <t>2023-01, 2023-02, 2023-03, 2023-04, 2023-05, 2023-06, 2023-07, 2023-08, 2023-09, 2023-10, 2023-11, 2023-12, 2024-01, 2024-02, 2024-03, 2024-04, 2024-05, 2024-06, 2024-07, 2024-10, 2024-11</t>
        </is>
      </c>
    </row>
    <row r="24">
      <c r="A24" t="n">
        <v>22</v>
      </c>
      <c r="B24" s="10">
        <f>SUM('LC Triangle'!Y2,'LC Triangle'!Y3,'LC Triangle'!Y4,'LC Triangle'!Y5,'LC Triangle'!Y6,'LC Triangle'!Y7,'LC Triangle'!Y8,'LC Triangle'!Y9,'LC Triangle'!Y10,'LC Triangle'!Y11,'LC Triangle'!Y12,'LC Triangle'!Y13,'LC Triangle'!Y14,'LC Triangle'!Y15,'LC Triangle'!Y16,'LC Triangle'!Y17,'LC Triangle'!Y18,'LC Triangle'!Y19,'LC Triangle'!Y22,'LC Triangle'!Y23)/SUM('LC Triangle'!X2,'LC Triangle'!X3,'LC Triangle'!X4,'LC Triangle'!X5,'LC Triangle'!X6,'LC Triangle'!X7,'LC Triangle'!X8,'LC Triangle'!X9,'LC Triangle'!X10,'LC Triangle'!X11,'LC Triangle'!X12,'LC Triangle'!X13,'LC Triangle'!X14,'LC Triangle'!X15,'LC Triangle'!X16,'LC Triangle'!X17,'LC Triangle'!X18,'LC Triangle'!X19,'LC Triangle'!X22,'LC Triangle'!X23)</f>
        <v/>
      </c>
      <c r="C24" s="12" t="n"/>
      <c r="D24" s="10">
        <f>IF(ISNUMBER(C24),C24,B24)</f>
        <v/>
      </c>
      <c r="E24" s="13">
        <f>1/PRODUCT(D24:D46)</f>
        <v/>
      </c>
      <c r="F24" t="inlineStr">
        <is>
          <t>2023-01, 2023-02, 2023-03, 2023-04, 2023-05, 2023-06, 2023-07, 2023-08, 2023-09, 2023-10, 2023-11, 2023-12, 2024-01, 2024-02, 2024-03, 2024-04, 2024-05, 2024-06, 2024-09, 2024-10</t>
        </is>
      </c>
    </row>
    <row r="25">
      <c r="A25" t="n">
        <v>23</v>
      </c>
      <c r="B25" s="10">
        <f>SUM('LC Triangle'!Z2,'LC Triangle'!Z3,'LC Triangle'!Z4,'LC Triangle'!Z5,'LC Triangle'!Z6,'LC Triangle'!Z7,'LC Triangle'!Z8,'LC Triangle'!Z9,'LC Triangle'!Z10,'LC Triangle'!Z11,'LC Triangle'!Z12,'LC Triangle'!Z13,'LC Triangle'!Z14,'LC Triangle'!Z15,'LC Triangle'!Z16,'LC Triangle'!Z17,'LC Triangle'!Z18,'LC Triangle'!Z21,'LC Triangle'!Z22)/SUM('LC Triangle'!Y2,'LC Triangle'!Y3,'LC Triangle'!Y4,'LC Triangle'!Y5,'LC Triangle'!Y6,'LC Triangle'!Y7,'LC Triangle'!Y8,'LC Triangle'!Y9,'LC Triangle'!Y10,'LC Triangle'!Y11,'LC Triangle'!Y12,'LC Triangle'!Y13,'LC Triangle'!Y14,'LC Triangle'!Y15,'LC Triangle'!Y16,'LC Triangle'!Y17,'LC Triangle'!Y18,'LC Triangle'!Y21,'LC Triangle'!Y22)</f>
        <v/>
      </c>
      <c r="C25" s="12" t="n"/>
      <c r="D25" s="10">
        <f>IF(ISNUMBER(C25),C25,B25)</f>
        <v/>
      </c>
      <c r="E25" s="13">
        <f>1/PRODUCT(D25:D46)</f>
        <v/>
      </c>
      <c r="F25" t="inlineStr">
        <is>
          <t>2023-01, 2023-02, 2023-03, 2023-04, 2023-05, 2023-06, 2023-07, 2023-08, 2023-09, 2023-10, 2023-11, 2023-12, 2024-01, 2024-02, 2024-03, 2024-04, 2024-05, 2024-08, 2024-09</t>
        </is>
      </c>
    </row>
    <row r="26">
      <c r="A26" t="n">
        <v>24</v>
      </c>
      <c r="B26" s="10">
        <f>SUM('LC Triangle'!AA2,'LC Triangle'!AA3,'LC Triangle'!AA4,'LC Triangle'!AA5,'LC Triangle'!AA6,'LC Triangle'!AA7,'LC Triangle'!AA8,'LC Triangle'!AA9,'LC Triangle'!AA10,'LC Triangle'!AA11,'LC Triangle'!AA12,'LC Triangle'!AA13,'LC Triangle'!AA14,'LC Triangle'!AA15,'LC Triangle'!AA16,'LC Triangle'!AA17,'LC Triangle'!AA20,'LC Triangle'!AA21)/SUM('LC Triangle'!Z2,'LC Triangle'!Z3,'LC Triangle'!Z4,'LC Triangle'!Z5,'LC Triangle'!Z6,'LC Triangle'!Z7,'LC Triangle'!Z8,'LC Triangle'!Z9,'LC Triangle'!Z10,'LC Triangle'!Z11,'LC Triangle'!Z12,'LC Triangle'!Z13,'LC Triangle'!Z14,'LC Triangle'!Z15,'LC Triangle'!Z16,'LC Triangle'!Z17,'LC Triangle'!Z20,'LC Triangle'!Z21)</f>
        <v/>
      </c>
      <c r="C26" s="12" t="n"/>
      <c r="D26" s="10">
        <f>IF(ISNUMBER(C26),C26,B26)</f>
        <v/>
      </c>
      <c r="E26" s="13">
        <f>1/PRODUCT(D26:D46)</f>
        <v/>
      </c>
      <c r="F26" t="inlineStr">
        <is>
          <t>2023-01, 2023-02, 2023-03, 2023-04, 2023-05, 2023-06, 2023-07, 2023-08, 2023-09, 2023-10, 2023-11, 2023-12, 2024-01, 2024-02, 2024-03, 2024-04, 2024-07, 2024-08</t>
        </is>
      </c>
    </row>
    <row r="27">
      <c r="A27" t="n">
        <v>25</v>
      </c>
      <c r="B27" s="10">
        <f>SUM('LC Triangle'!AB2,'LC Triangle'!AB3,'LC Triangle'!AB4,'LC Triangle'!AB5,'LC Triangle'!AB6,'LC Triangle'!AB7,'LC Triangle'!AB8,'LC Triangle'!AB9,'LC Triangle'!AB10,'LC Triangle'!AB11,'LC Triangle'!AB12,'LC Triangle'!AB13,'LC Triangle'!AB14,'LC Triangle'!AB15,'LC Triangle'!AB16,'LC Triangle'!AB19,'LC Triangle'!AB20)/SUM('LC Triangle'!AA2,'LC Triangle'!AA3,'LC Triangle'!AA4,'LC Triangle'!AA5,'LC Triangle'!AA6,'LC Triangle'!AA7,'LC Triangle'!AA8,'LC Triangle'!AA9,'LC Triangle'!AA10,'LC Triangle'!AA11,'LC Triangle'!AA12,'LC Triangle'!AA13,'LC Triangle'!AA14,'LC Triangle'!AA15,'LC Triangle'!AA16,'LC Triangle'!AA19,'LC Triangle'!AA20)</f>
        <v/>
      </c>
      <c r="C27" s="12" t="n"/>
      <c r="D27" s="10">
        <f>IF(ISNUMBER(C27),C27,B27)</f>
        <v/>
      </c>
      <c r="E27" s="13">
        <f>1/PRODUCT(D27:D46)</f>
        <v/>
      </c>
      <c r="F27" t="inlineStr">
        <is>
          <t>2023-01, 2023-02, 2023-03, 2023-04, 2023-05, 2023-06, 2023-07, 2023-08, 2023-09, 2023-10, 2023-11, 2023-12, 2024-01, 2024-02, 2024-03, 2024-06, 2024-07</t>
        </is>
      </c>
    </row>
    <row r="28">
      <c r="A28" t="n">
        <v>26</v>
      </c>
      <c r="B28" s="10">
        <f>SUM('LC Triangle'!AC2,'LC Triangle'!AC3,'LC Triangle'!AC4,'LC Triangle'!AC5,'LC Triangle'!AC6,'LC Triangle'!AC7,'LC Triangle'!AC8,'LC Triangle'!AC9,'LC Triangle'!AC10,'LC Triangle'!AC11,'LC Triangle'!AC12,'LC Triangle'!AC13,'LC Triangle'!AC14,'LC Triangle'!AC15,'LC Triangle'!AC18,'LC Triangle'!AC19)/SUM('LC Triangle'!AB2,'LC Triangle'!AB3,'LC Triangle'!AB4,'LC Triangle'!AB5,'LC Triangle'!AB6,'LC Triangle'!AB7,'LC Triangle'!AB8,'LC Triangle'!AB9,'LC Triangle'!AB10,'LC Triangle'!AB11,'LC Triangle'!AB12,'LC Triangle'!AB13,'LC Triangle'!AB14,'LC Triangle'!AB15,'LC Triangle'!AB18,'LC Triangle'!AB19)</f>
        <v/>
      </c>
      <c r="C28" s="12" t="n"/>
      <c r="D28" s="10">
        <f>IF(ISNUMBER(C28),C28,B28)</f>
        <v/>
      </c>
      <c r="E28" s="13">
        <f>1/PRODUCT(D28:D46)</f>
        <v/>
      </c>
      <c r="F28" t="inlineStr">
        <is>
          <t>2023-01, 2023-02, 2023-03, 2023-04, 2023-05, 2023-06, 2023-07, 2023-08, 2023-09, 2023-10, 2023-11, 2023-12, 2024-01, 2024-02, 2024-05, 2024-06</t>
        </is>
      </c>
    </row>
    <row r="29">
      <c r="A29" t="n">
        <v>27</v>
      </c>
      <c r="B29" s="10">
        <f>SUM('LC Triangle'!AD2,'LC Triangle'!AD3,'LC Triangle'!AD4,'LC Triangle'!AD5,'LC Triangle'!AD6,'LC Triangle'!AD7,'LC Triangle'!AD8,'LC Triangle'!AD9,'LC Triangle'!AD10,'LC Triangle'!AD11,'LC Triangle'!AD12,'LC Triangle'!AD13,'LC Triangle'!AD14,'LC Triangle'!AD17,'LC Triangle'!AD18)/SUM('LC Triangle'!AC2,'LC Triangle'!AC3,'LC Triangle'!AC4,'LC Triangle'!AC5,'LC Triangle'!AC6,'LC Triangle'!AC7,'LC Triangle'!AC8,'LC Triangle'!AC9,'LC Triangle'!AC10,'LC Triangle'!AC11,'LC Triangle'!AC12,'LC Triangle'!AC13,'LC Triangle'!AC14,'LC Triangle'!AC17,'LC Triangle'!AC18)</f>
        <v/>
      </c>
      <c r="C29" s="12" t="n"/>
      <c r="D29" s="10">
        <f>IF(ISNUMBER(C29),C29,B29)</f>
        <v/>
      </c>
      <c r="E29" s="13">
        <f>1/PRODUCT(D29:D46)</f>
        <v/>
      </c>
      <c r="F29" t="inlineStr">
        <is>
          <t>2023-01, 2023-02, 2023-03, 2023-04, 2023-05, 2023-06, 2023-07, 2023-08, 2023-09, 2023-10, 2023-11, 2023-12, 2024-01, 2024-04, 2024-05</t>
        </is>
      </c>
    </row>
    <row r="30">
      <c r="A30" t="n">
        <v>28</v>
      </c>
      <c r="B30" s="10">
        <f>SUM('LC Triangle'!AE2,'LC Triangle'!AE3,'LC Triangle'!AE4,'LC Triangle'!AE5,'LC Triangle'!AE6,'LC Triangle'!AE7,'LC Triangle'!AE8,'LC Triangle'!AE9,'LC Triangle'!AE10,'LC Triangle'!AE11,'LC Triangle'!AE12,'LC Triangle'!AE13,'LC Triangle'!AE16,'LC Triangle'!AE17)/SUM('LC Triangle'!AD2,'LC Triangle'!AD3,'LC Triangle'!AD4,'LC Triangle'!AD5,'LC Triangle'!AD6,'LC Triangle'!AD7,'LC Triangle'!AD8,'LC Triangle'!AD9,'LC Triangle'!AD10,'LC Triangle'!AD11,'LC Triangle'!AD12,'LC Triangle'!AD13,'LC Triangle'!AD16,'LC Triangle'!AD17)</f>
        <v/>
      </c>
      <c r="C30" s="12" t="n"/>
      <c r="D30" s="10">
        <f>IF(ISNUMBER(C30),C30,B30)</f>
        <v/>
      </c>
      <c r="E30" s="13">
        <f>1/PRODUCT(D30:D46)</f>
        <v/>
      </c>
      <c r="F30" t="inlineStr">
        <is>
          <t>2023-01, 2023-02, 2023-03, 2023-04, 2023-05, 2023-06, 2023-07, 2023-08, 2023-09, 2023-10, 2023-11, 2023-12, 2024-03, 2024-04</t>
        </is>
      </c>
    </row>
    <row r="31">
      <c r="A31" t="n">
        <v>29</v>
      </c>
      <c r="B31" s="10">
        <f>SUM('LC Triangle'!AF2,'LC Triangle'!AF3,'LC Triangle'!AF4,'LC Triangle'!AF5,'LC Triangle'!AF6,'LC Triangle'!AF7,'LC Triangle'!AF8,'LC Triangle'!AF9,'LC Triangle'!AF10,'LC Triangle'!AF11,'LC Triangle'!AF12,'LC Triangle'!AF15,'LC Triangle'!AF16)/SUM('LC Triangle'!AE2,'LC Triangle'!AE3,'LC Triangle'!AE4,'LC Triangle'!AE5,'LC Triangle'!AE6,'LC Triangle'!AE7,'LC Triangle'!AE8,'LC Triangle'!AE9,'LC Triangle'!AE10,'LC Triangle'!AE11,'LC Triangle'!AE12,'LC Triangle'!AE15,'LC Triangle'!AE16)</f>
        <v/>
      </c>
      <c r="C31" s="12" t="n"/>
      <c r="D31" s="10">
        <f>IF(ISNUMBER(C31),C31,B31)</f>
        <v/>
      </c>
      <c r="E31" s="13">
        <f>1/PRODUCT(D31:D46)</f>
        <v/>
      </c>
      <c r="F31" t="inlineStr">
        <is>
          <t>2023-01, 2023-02, 2023-03, 2023-04, 2023-05, 2023-06, 2023-07, 2023-08, 2023-09, 2023-10, 2023-11, 2024-02, 2024-03</t>
        </is>
      </c>
    </row>
    <row r="32">
      <c r="A32" t="n">
        <v>30</v>
      </c>
      <c r="B32" s="10">
        <f>SUM('LC Triangle'!AG2,'LC Triangle'!AG3,'LC Triangle'!AG4,'LC Triangle'!AG5,'LC Triangle'!AG6,'LC Triangle'!AG7,'LC Triangle'!AG8,'LC Triangle'!AG9,'LC Triangle'!AG10,'LC Triangle'!AG11,'LC Triangle'!AG14,'LC Triangle'!AG15)/SUM('LC Triangle'!AF2,'LC Triangle'!AF3,'LC Triangle'!AF4,'LC Triangle'!AF5,'LC Triangle'!AF6,'LC Triangle'!AF7,'LC Triangle'!AF8,'LC Triangle'!AF9,'LC Triangle'!AF10,'LC Triangle'!AF11,'LC Triangle'!AF14,'LC Triangle'!AF15)</f>
        <v/>
      </c>
      <c r="C32" s="12" t="n"/>
      <c r="D32" s="10">
        <f>IF(ISNUMBER(C32),C32,B32)</f>
        <v/>
      </c>
      <c r="E32" s="13">
        <f>1/PRODUCT(D32:D46)</f>
        <v/>
      </c>
      <c r="F32" t="inlineStr">
        <is>
          <t>2023-01, 2023-02, 2023-03, 2023-04, 2023-05, 2023-06, 2023-07, 2023-08, 2023-09, 2023-10, 2024-01, 2024-02</t>
        </is>
      </c>
    </row>
    <row r="33">
      <c r="A33" t="n">
        <v>31</v>
      </c>
      <c r="B33" s="10">
        <f>SUM('LC Triangle'!AH2,'LC Triangle'!AH3,'LC Triangle'!AH4,'LC Triangle'!AH5,'LC Triangle'!AH6,'LC Triangle'!AH7,'LC Triangle'!AH8,'LC Triangle'!AH9,'LC Triangle'!AH10,'LC Triangle'!AH13,'LC Triangle'!AH14)/SUM('LC Triangle'!AG2,'LC Triangle'!AG3,'LC Triangle'!AG4,'LC Triangle'!AG5,'LC Triangle'!AG6,'LC Triangle'!AG7,'LC Triangle'!AG8,'LC Triangle'!AG9,'LC Triangle'!AG10,'LC Triangle'!AG13,'LC Triangle'!AG14)</f>
        <v/>
      </c>
      <c r="C33" s="12" t="n"/>
      <c r="D33" s="10">
        <f>IF(ISNUMBER(C33),C33,B33)</f>
        <v/>
      </c>
      <c r="E33" s="13">
        <f>1/PRODUCT(D33:D46)</f>
        <v/>
      </c>
      <c r="F33" t="inlineStr">
        <is>
          <t>2023-01, 2023-02, 2023-03, 2023-04, 2023-05, 2023-06, 2023-07, 2023-08, 2023-09, 2023-12, 2024-01</t>
        </is>
      </c>
    </row>
    <row r="34">
      <c r="A34" t="n">
        <v>32</v>
      </c>
      <c r="B34" s="10">
        <f>SUM('LC Triangle'!AI2,'LC Triangle'!AI3,'LC Triangle'!AI4,'LC Triangle'!AI5,'LC Triangle'!AI6,'LC Triangle'!AI7,'LC Triangle'!AI8,'LC Triangle'!AI9,'LC Triangle'!AI12,'LC Triangle'!AI13)/SUM('LC Triangle'!AH2,'LC Triangle'!AH3,'LC Triangle'!AH4,'LC Triangle'!AH5,'LC Triangle'!AH6,'LC Triangle'!AH7,'LC Triangle'!AH8,'LC Triangle'!AH9,'LC Triangle'!AH12,'LC Triangle'!AH13)</f>
        <v/>
      </c>
      <c r="C34" s="12" t="n"/>
      <c r="D34" s="10">
        <f>IF(ISNUMBER(C34),C34,B34)</f>
        <v/>
      </c>
      <c r="E34" s="13">
        <f>1/PRODUCT(D34:D46)</f>
        <v/>
      </c>
      <c r="F34" t="inlineStr">
        <is>
          <t>2023-01, 2023-02, 2023-03, 2023-04, 2023-05, 2023-06, 2023-07, 2023-08, 2023-11, 2023-12</t>
        </is>
      </c>
    </row>
    <row r="35">
      <c r="A35" t="n">
        <v>33</v>
      </c>
      <c r="B35" s="10">
        <f>SUM('LC Triangle'!AJ2,'LC Triangle'!AJ3,'LC Triangle'!AJ4,'LC Triangle'!AJ5,'LC Triangle'!AJ6,'LC Triangle'!AJ7,'LC Triangle'!AJ8,'LC Triangle'!AJ11,'LC Triangle'!AJ12)/SUM('LC Triangle'!AI2,'LC Triangle'!AI3,'LC Triangle'!AI4,'LC Triangle'!AI5,'LC Triangle'!AI6,'LC Triangle'!AI7,'LC Triangle'!AI8,'LC Triangle'!AI11,'LC Triangle'!AI12)</f>
        <v/>
      </c>
      <c r="C35" s="12" t="n"/>
      <c r="D35" s="10">
        <f>IF(ISNUMBER(C35),C35,B35)</f>
        <v/>
      </c>
      <c r="E35" s="13">
        <f>1/PRODUCT(D35:D46)</f>
        <v/>
      </c>
      <c r="F35" t="inlineStr">
        <is>
          <t>2023-01, 2023-02, 2023-03, 2023-04, 2023-05, 2023-06, 2023-07, 2023-10, 2023-11</t>
        </is>
      </c>
    </row>
    <row r="36">
      <c r="A36" t="n">
        <v>34</v>
      </c>
      <c r="B36" s="10">
        <f>SUM('LC Triangle'!AK2,'LC Triangle'!AK3,'LC Triangle'!AK4,'LC Triangle'!AK5,'LC Triangle'!AK6,'LC Triangle'!AK7,'LC Triangle'!AK10,'LC Triangle'!AK11)/SUM('LC Triangle'!AJ2,'LC Triangle'!AJ3,'LC Triangle'!AJ4,'LC Triangle'!AJ5,'LC Triangle'!AJ6,'LC Triangle'!AJ7,'LC Triangle'!AJ10,'LC Triangle'!AJ11)</f>
        <v/>
      </c>
      <c r="C36" s="12" t="n"/>
      <c r="D36" s="10">
        <f>IF(ISNUMBER(C36),C36,B36)</f>
        <v/>
      </c>
      <c r="E36" s="13">
        <f>1/PRODUCT(D36:D46)</f>
        <v/>
      </c>
      <c r="F36" t="inlineStr">
        <is>
          <t>2023-01, 2023-02, 2023-03, 2023-04, 2023-05, 2023-06, 2023-09, 2023-10</t>
        </is>
      </c>
    </row>
    <row r="37">
      <c r="A37" t="n">
        <v>35</v>
      </c>
      <c r="B37" s="10">
        <f>SUM('LC Triangle'!AL2,'LC Triangle'!AL3,'LC Triangle'!AL4,'LC Triangle'!AL5,'LC Triangle'!AL6,'LC Triangle'!AL9,'LC Triangle'!AL10)/SUM('LC Triangle'!AK2,'LC Triangle'!AK3,'LC Triangle'!AK4,'LC Triangle'!AK5,'LC Triangle'!AK6,'LC Triangle'!AK9,'LC Triangle'!AK10)</f>
        <v/>
      </c>
      <c r="C37" s="12" t="n"/>
      <c r="D37" s="10">
        <f>IF(ISNUMBER(C37),C37,B37)</f>
        <v/>
      </c>
      <c r="E37" s="13">
        <f>1/PRODUCT(D37:D46)</f>
        <v/>
      </c>
      <c r="F37" t="inlineStr">
        <is>
          <t>2023-01, 2023-02, 2023-03, 2023-04, 2023-05, 2023-08, 2023-09</t>
        </is>
      </c>
    </row>
    <row r="38">
      <c r="A38" t="n">
        <v>36</v>
      </c>
      <c r="B38" s="10" t="n">
        <v>1</v>
      </c>
      <c r="C38" s="12" t="n"/>
      <c r="D38" s="10">
        <f>IF(ISNUMBER(C38),C38,B38)</f>
        <v/>
      </c>
      <c r="E38" s="13">
        <f>1/PRODUCT(D38:D46)</f>
        <v/>
      </c>
      <c r="F38" t="inlineStr">
        <is>
          <t>2023-01, 2023-02, 2023-03, 2023-04, 2023-07, 2023-08</t>
        </is>
      </c>
    </row>
    <row r="39">
      <c r="A39" t="n">
        <v>37</v>
      </c>
      <c r="B39" s="10" t="n">
        <v>1</v>
      </c>
      <c r="C39" s="12" t="n"/>
      <c r="D39" s="10">
        <f>IF(ISNUMBER(C39),C39,B39)</f>
        <v/>
      </c>
      <c r="E39" s="13">
        <f>1/PRODUCT(D39:D46)</f>
        <v/>
      </c>
      <c r="F39" t="inlineStr">
        <is>
          <t>2023-01, 2023-02, 2023-03, 2023-06, 2023-07</t>
        </is>
      </c>
    </row>
    <row r="40">
      <c r="A40" t="n">
        <v>38</v>
      </c>
      <c r="B40" s="10" t="n">
        <v>1</v>
      </c>
      <c r="C40" s="12" t="n"/>
      <c r="D40" s="10">
        <f>IF(ISNUMBER(C40),C40,B40)</f>
        <v/>
      </c>
      <c r="E40" s="13">
        <f>1/PRODUCT(D40:D46)</f>
        <v/>
      </c>
      <c r="F40" t="inlineStr">
        <is>
          <t>2023-01, 2023-02, 2023-05, 2023-06</t>
        </is>
      </c>
    </row>
    <row r="41">
      <c r="A41" t="n">
        <v>39</v>
      </c>
      <c r="B41" s="10" t="n">
        <v>1</v>
      </c>
      <c r="C41" s="12" t="n"/>
      <c r="D41" s="10">
        <f>IF(ISNUMBER(C41),C41,B41)</f>
        <v/>
      </c>
      <c r="E41" s="13">
        <f>1/PRODUCT(D41:D46)</f>
        <v/>
      </c>
      <c r="F41" t="inlineStr">
        <is>
          <t>2023-01, 2023-04, 2023-05</t>
        </is>
      </c>
    </row>
    <row r="42">
      <c r="A42" t="n">
        <v>40</v>
      </c>
      <c r="B42" s="10" t="n">
        <v>1</v>
      </c>
      <c r="C42" s="12" t="n"/>
      <c r="D42" s="10">
        <f>IF(ISNUMBER(C42),C42,B42)</f>
        <v/>
      </c>
      <c r="E42" s="13">
        <f>1/PRODUCT(D42:D46)</f>
        <v/>
      </c>
      <c r="F42" t="inlineStr">
        <is>
          <t>2023-03, 2023-04</t>
        </is>
      </c>
    </row>
    <row r="43">
      <c r="A43" t="n">
        <v>41</v>
      </c>
      <c r="B43" s="10" t="n">
        <v>1</v>
      </c>
      <c r="C43" s="12" t="n"/>
      <c r="D43" s="10">
        <f>IF(ISNUMBER(C43),C43,B43)</f>
        <v/>
      </c>
      <c r="E43" s="13">
        <f>1/PRODUCT(D43:D46)</f>
        <v/>
      </c>
      <c r="F43" t="inlineStr">
        <is>
          <t>2023-02, 2023-03</t>
        </is>
      </c>
    </row>
    <row r="44">
      <c r="A44" t="n">
        <v>42</v>
      </c>
      <c r="B44" s="10" t="n">
        <v>1</v>
      </c>
      <c r="C44" s="12" t="n"/>
      <c r="D44" s="10">
        <f>IF(ISNUMBER(C44),C44,B44)</f>
        <v/>
      </c>
      <c r="E44" s="13">
        <f>1/PRODUCT(D44:D46)</f>
        <v/>
      </c>
      <c r="F44" t="inlineStr">
        <is>
          <t>2023-01, 2023-02</t>
        </is>
      </c>
    </row>
    <row r="45">
      <c r="A45" t="n">
        <v>43</v>
      </c>
      <c r="B45" s="10" t="n">
        <v>1</v>
      </c>
      <c r="C45" s="12" t="n"/>
      <c r="D45" s="10">
        <f>IF(ISNUMBER(C45),C45,B45)</f>
        <v/>
      </c>
      <c r="E45" s="13">
        <f>1/PRODUCT(D45:D46)</f>
        <v/>
      </c>
      <c r="F45" t="inlineStr">
        <is>
          <t>2023-01</t>
        </is>
      </c>
    </row>
    <row r="46">
      <c r="A46" t="n">
        <v>44</v>
      </c>
      <c r="B46" s="10" t="n">
        <v>1</v>
      </c>
      <c r="C46" s="12" t="n"/>
      <c r="D46" s="10">
        <f>IF(ISNUMBER(C46),C46,B46)</f>
        <v/>
      </c>
      <c r="E46" s="13">
        <f>1/PRODUCT(D46:D46)</f>
        <v/>
      </c>
      <c r="F46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  <col width="14" customWidth="1" min="12" max="12"/>
    <col width="18" customWidth="1" min="13" max="13"/>
  </cols>
  <sheetData>
    <row r="1">
      <c r="A1" s="3" t="inlineStr">
        <is>
          <t>Incurred</t>
        </is>
      </c>
      <c r="B1" s="3" t="inlineStr">
        <is>
          <t>Member months</t>
        </is>
      </c>
      <c r="C1" s="3" t="inlineStr">
        <is>
          <t>Age</t>
        </is>
      </c>
      <c r="D1" s="3" t="inlineStr">
        <is>
          <t>Paid to date</t>
        </is>
      </c>
      <c r="E1" s="3" t="inlineStr">
        <is>
          <t>Paid for estimation</t>
        </is>
      </c>
      <c r="F1" s="3" t="inlineStr">
        <is>
          <t>Completion factor</t>
        </is>
      </c>
      <c r="G1" s="3" t="inlineStr">
        <is>
          <t>CF ultimate</t>
        </is>
      </c>
      <c r="H1" s="3" t="inlineStr">
        <is>
          <t>Expected PMPM</t>
        </is>
      </c>
      <c r="I1" s="3" t="inlineStr">
        <is>
          <t>Expected claims</t>
        </is>
      </c>
      <c r="J1" s="3" t="inlineStr">
        <is>
          <t>B-F ultimate</t>
        </is>
      </c>
      <c r="K1" s="3" t="inlineStr">
        <is>
          <t>Selected ultimate</t>
        </is>
      </c>
      <c r="L1" s="3" t="inlineStr">
        <is>
          <t>IBNR</t>
        </is>
      </c>
      <c r="M1" s="3" t="inlineStr">
        <is>
          <t>Method</t>
        </is>
      </c>
    </row>
    <row r="2">
      <c r="A2" s="6" t="inlineStr">
        <is>
          <t>2023-01</t>
        </is>
      </c>
      <c r="B2" s="14" t="n">
        <v>185202</v>
      </c>
      <c r="C2" t="n">
        <v>44</v>
      </c>
      <c r="D2" s="4">
        <f>'LC Triangle'!AT2</f>
        <v/>
      </c>
      <c r="E2" s="4">
        <f>'LC Triangle'!AS2+(D2-'LC Triangle'!AS2)/Assumptions!$B$9</f>
        <v/>
      </c>
      <c r="F2" s="13">
        <f>INDEX('LC Factors'!$E:$E,C2+2)</f>
        <v/>
      </c>
      <c r="G2" s="4">
        <f>E2/F2</f>
        <v/>
      </c>
      <c r="H2" s="15" t="n">
        <v>43.252975</v>
      </c>
      <c r="I2" s="4">
        <f>H2*B2</f>
        <v/>
      </c>
      <c r="J2" s="4">
        <f>E2+(1-F2)*I2</f>
        <v/>
      </c>
      <c r="K2" s="4">
        <f>J2</f>
        <v/>
      </c>
      <c r="L2" s="4">
        <f>K2-D2</f>
        <v/>
      </c>
      <c r="M2" t="inlineStr">
        <is>
          <t>Large-claim B-F</t>
        </is>
      </c>
    </row>
    <row r="3">
      <c r="A3" s="6" t="inlineStr">
        <is>
          <t>2023-02</t>
        </is>
      </c>
      <c r="B3" s="14" t="n">
        <v>185248</v>
      </c>
      <c r="C3" t="n">
        <v>43</v>
      </c>
      <c r="D3" s="4">
        <f>'LC Triangle'!AS3</f>
        <v/>
      </c>
      <c r="E3" s="4">
        <f>'LC Triangle'!AR3+(D3-'LC Triangle'!AR3)/Assumptions!$B$9</f>
        <v/>
      </c>
      <c r="F3" s="13">
        <f>INDEX('LC Factors'!$E:$E,C3+2)</f>
        <v/>
      </c>
      <c r="G3" s="4">
        <f>E3/F3</f>
        <v/>
      </c>
      <c r="H3" s="15" t="n">
        <v>43.564713</v>
      </c>
      <c r="I3" s="4">
        <f>H3*B3</f>
        <v/>
      </c>
      <c r="J3" s="4">
        <f>E3+(1-F3)*I3</f>
        <v/>
      </c>
      <c r="K3" s="4">
        <f>J3</f>
        <v/>
      </c>
      <c r="L3" s="4">
        <f>K3-D3</f>
        <v/>
      </c>
      <c r="M3" t="inlineStr">
        <is>
          <t>Large-claim B-F</t>
        </is>
      </c>
    </row>
    <row r="4">
      <c r="A4" s="6" t="inlineStr">
        <is>
          <t>2023-03</t>
        </is>
      </c>
      <c r="B4" s="14" t="n">
        <v>185435</v>
      </c>
      <c r="C4" t="n">
        <v>42</v>
      </c>
      <c r="D4" s="4">
        <f>'LC Triangle'!AR4</f>
        <v/>
      </c>
      <c r="E4" s="4">
        <f>'LC Triangle'!AQ4+(D4-'LC Triangle'!AQ4)/Assumptions!$B$9</f>
        <v/>
      </c>
      <c r="F4" s="13">
        <f>INDEX('LC Factors'!$E:$E,C4+2)</f>
        <v/>
      </c>
      <c r="G4" s="4">
        <f>E4/F4</f>
        <v/>
      </c>
      <c r="H4" s="15" t="n">
        <v>43.878698</v>
      </c>
      <c r="I4" s="4">
        <f>H4*B4</f>
        <v/>
      </c>
      <c r="J4" s="4">
        <f>E4+(1-F4)*I4</f>
        <v/>
      </c>
      <c r="K4" s="4">
        <f>J4</f>
        <v/>
      </c>
      <c r="L4" s="4">
        <f>K4-D4</f>
        <v/>
      </c>
      <c r="M4" t="inlineStr">
        <is>
          <t>Large-claim B-F</t>
        </is>
      </c>
    </row>
    <row r="5">
      <c r="A5" s="6" t="inlineStr">
        <is>
          <t>2023-04</t>
        </is>
      </c>
      <c r="B5" s="14" t="n">
        <v>185785</v>
      </c>
      <c r="C5" t="n">
        <v>41</v>
      </c>
      <c r="D5" s="4">
        <f>'LC Triangle'!AQ5</f>
        <v/>
      </c>
      <c r="E5" s="4">
        <f>'LC Triangle'!AP5+(D5-'LC Triangle'!AP5)/Assumptions!$B$9</f>
        <v/>
      </c>
      <c r="F5" s="13">
        <f>INDEX('LC Factors'!$E:$E,C5+2)</f>
        <v/>
      </c>
      <c r="G5" s="4">
        <f>E5/F5</f>
        <v/>
      </c>
      <c r="H5" s="15" t="n">
        <v>44.194946</v>
      </c>
      <c r="I5" s="4">
        <f>H5*B5</f>
        <v/>
      </c>
      <c r="J5" s="4">
        <f>E5+(1-F5)*I5</f>
        <v/>
      </c>
      <c r="K5" s="4">
        <f>J5</f>
        <v/>
      </c>
      <c r="L5" s="4">
        <f>K5-D5</f>
        <v/>
      </c>
      <c r="M5" t="inlineStr">
        <is>
          <t>Large-claim B-F</t>
        </is>
      </c>
    </row>
    <row r="6">
      <c r="A6" s="6" t="inlineStr">
        <is>
          <t>2023-05</t>
        </is>
      </c>
      <c r="B6" s="14" t="n">
        <v>185684</v>
      </c>
      <c r="C6" t="n">
        <v>40</v>
      </c>
      <c r="D6" s="4">
        <f>'LC Triangle'!AP6</f>
        <v/>
      </c>
      <c r="E6" s="4">
        <f>'LC Triangle'!AO6+(D6-'LC Triangle'!AO6)/Assumptions!$B$9</f>
        <v/>
      </c>
      <c r="F6" s="13">
        <f>INDEX('LC Factors'!$E:$E,C6+2)</f>
        <v/>
      </c>
      <c r="G6" s="4">
        <f>E6/F6</f>
        <v/>
      </c>
      <c r="H6" s="15" t="n">
        <v>44.513474</v>
      </c>
      <c r="I6" s="4">
        <f>H6*B6</f>
        <v/>
      </c>
      <c r="J6" s="4">
        <f>E6+(1-F6)*I6</f>
        <v/>
      </c>
      <c r="K6" s="4">
        <f>J6</f>
        <v/>
      </c>
      <c r="L6" s="4">
        <f>K6-D6</f>
        <v/>
      </c>
      <c r="M6" t="inlineStr">
        <is>
          <t>Large-claim B-F</t>
        </is>
      </c>
    </row>
    <row r="7">
      <c r="A7" s="6" t="inlineStr">
        <is>
          <t>2023-06</t>
        </is>
      </c>
      <c r="B7" s="14" t="n">
        <v>186376</v>
      </c>
      <c r="C7" t="n">
        <v>39</v>
      </c>
      <c r="D7" s="4">
        <f>'LC Triangle'!AO7</f>
        <v/>
      </c>
      <c r="E7" s="4">
        <f>'LC Triangle'!AN7+(D7-'LC Triangle'!AN7)/Assumptions!$B$9</f>
        <v/>
      </c>
      <c r="F7" s="13">
        <f>INDEX('LC Factors'!$E:$E,C7+2)</f>
        <v/>
      </c>
      <c r="G7" s="4">
        <f>E7/F7</f>
        <v/>
      </c>
      <c r="H7" s="15" t="n">
        <v>44.834297</v>
      </c>
      <c r="I7" s="4">
        <f>H7*B7</f>
        <v/>
      </c>
      <c r="J7" s="4">
        <f>E7+(1-F7)*I7</f>
        <v/>
      </c>
      <c r="K7" s="4">
        <f>J7</f>
        <v/>
      </c>
      <c r="L7" s="4">
        <f>K7-D7</f>
        <v/>
      </c>
      <c r="M7" t="inlineStr">
        <is>
          <t>Large-claim B-F</t>
        </is>
      </c>
    </row>
    <row r="8">
      <c r="A8" s="6" t="inlineStr">
        <is>
          <t>2023-07</t>
        </is>
      </c>
      <c r="B8" s="14" t="n">
        <v>186902</v>
      </c>
      <c r="C8" t="n">
        <v>38</v>
      </c>
      <c r="D8" s="4">
        <f>'LC Triangle'!AN8</f>
        <v/>
      </c>
      <c r="E8" s="4">
        <f>'LC Triangle'!AM8+(D8-'LC Triangle'!AM8)/Assumptions!$B$9</f>
        <v/>
      </c>
      <c r="F8" s="13">
        <f>INDEX('LC Factors'!$E:$E,C8+2)</f>
        <v/>
      </c>
      <c r="G8" s="4">
        <f>E8/F8</f>
        <v/>
      </c>
      <c r="H8" s="15" t="n">
        <v>45.157432</v>
      </c>
      <c r="I8" s="4">
        <f>H8*B8</f>
        <v/>
      </c>
      <c r="J8" s="4">
        <f>E8+(1-F8)*I8</f>
        <v/>
      </c>
      <c r="K8" s="4">
        <f>J8</f>
        <v/>
      </c>
      <c r="L8" s="4">
        <f>K8-D8</f>
        <v/>
      </c>
      <c r="M8" t="inlineStr">
        <is>
          <t>Large-claim B-F</t>
        </is>
      </c>
    </row>
    <row r="9">
      <c r="A9" s="6" t="inlineStr">
        <is>
          <t>2023-08</t>
        </is>
      </c>
      <c r="B9" s="14" t="n">
        <v>187226</v>
      </c>
      <c r="C9" t="n">
        <v>37</v>
      </c>
      <c r="D9" s="4">
        <f>'LC Triangle'!AM9</f>
        <v/>
      </c>
      <c r="E9" s="4">
        <f>'LC Triangle'!AL9+(D9-'LC Triangle'!AL9)/Assumptions!$B$9</f>
        <v/>
      </c>
      <c r="F9" s="13">
        <f>INDEX('LC Factors'!$E:$E,C9+2)</f>
        <v/>
      </c>
      <c r="G9" s="4">
        <f>E9/F9</f>
        <v/>
      </c>
      <c r="H9" s="15" t="n">
        <v>45.482896</v>
      </c>
      <c r="I9" s="4">
        <f>H9*B9</f>
        <v/>
      </c>
      <c r="J9" s="4">
        <f>E9+(1-F9)*I9</f>
        <v/>
      </c>
      <c r="K9" s="4">
        <f>J9</f>
        <v/>
      </c>
      <c r="L9" s="4">
        <f>K9-D9</f>
        <v/>
      </c>
      <c r="M9" t="inlineStr">
        <is>
          <t>Large-claim B-F</t>
        </is>
      </c>
    </row>
    <row r="10">
      <c r="A10" s="6" t="inlineStr">
        <is>
          <t>2023-09</t>
        </is>
      </c>
      <c r="B10" s="14" t="n">
        <v>187750</v>
      </c>
      <c r="C10" t="n">
        <v>36</v>
      </c>
      <c r="D10" s="4">
        <f>'LC Triangle'!AL10</f>
        <v/>
      </c>
      <c r="E10" s="4">
        <f>'LC Triangle'!AK10+(D10-'LC Triangle'!AK10)/Assumptions!$B$9</f>
        <v/>
      </c>
      <c r="F10" s="13">
        <f>INDEX('LC Factors'!$E:$E,C10+2)</f>
        <v/>
      </c>
      <c r="G10" s="4">
        <f>E10/F10</f>
        <v/>
      </c>
      <c r="H10" s="15" t="n">
        <v>45.810706</v>
      </c>
      <c r="I10" s="4">
        <f>H10*B10</f>
        <v/>
      </c>
      <c r="J10" s="4">
        <f>E10+(1-F10)*I10</f>
        <v/>
      </c>
      <c r="K10" s="4">
        <f>J10</f>
        <v/>
      </c>
      <c r="L10" s="4">
        <f>K10-D10</f>
        <v/>
      </c>
      <c r="M10" t="inlineStr">
        <is>
          <t>Large-claim B-F</t>
        </is>
      </c>
    </row>
    <row r="11">
      <c r="A11" s="6" t="inlineStr">
        <is>
          <t>2023-10</t>
        </is>
      </c>
      <c r="B11" s="14" t="n">
        <v>187725</v>
      </c>
      <c r="C11" t="n">
        <v>35</v>
      </c>
      <c r="D11" s="4">
        <f>'LC Triangle'!AK11</f>
        <v/>
      </c>
      <c r="E11" s="4">
        <f>'LC Triangle'!AJ11+(D11-'LC Triangle'!AJ11)/Assumptions!$B$9</f>
        <v/>
      </c>
      <c r="F11" s="13">
        <f>INDEX('LC Factors'!$E:$E,C11+2)</f>
        <v/>
      </c>
      <c r="G11" s="4">
        <f>E11/F11</f>
        <v/>
      </c>
      <c r="H11" s="15" t="n">
        <v>46.140878</v>
      </c>
      <c r="I11" s="4">
        <f>H11*B11</f>
        <v/>
      </c>
      <c r="J11" s="4">
        <f>E11+(1-F11)*I11</f>
        <v/>
      </c>
      <c r="K11" s="4">
        <f>J11</f>
        <v/>
      </c>
      <c r="L11" s="4">
        <f>K11-D11</f>
        <v/>
      </c>
      <c r="M11" t="inlineStr">
        <is>
          <t>Large-claim B-F</t>
        </is>
      </c>
    </row>
    <row r="12">
      <c r="A12" s="6" t="inlineStr">
        <is>
          <t>2023-11</t>
        </is>
      </c>
      <c r="B12" s="14" t="n">
        <v>187816</v>
      </c>
      <c r="C12" t="n">
        <v>34</v>
      </c>
      <c r="D12" s="4">
        <f>'LC Triangle'!AJ12</f>
        <v/>
      </c>
      <c r="E12" s="4">
        <f>'LC Triangle'!AI12+(D12-'LC Triangle'!AI12)/Assumptions!$B$9</f>
        <v/>
      </c>
      <c r="F12" s="13">
        <f>INDEX('LC Factors'!$E:$E,C12+2)</f>
        <v/>
      </c>
      <c r="G12" s="4">
        <f>E12/F12</f>
        <v/>
      </c>
      <c r="H12" s="15" t="n">
        <v>46.473431</v>
      </c>
      <c r="I12" s="4">
        <f>H12*B12</f>
        <v/>
      </c>
      <c r="J12" s="4">
        <f>E12+(1-F12)*I12</f>
        <v/>
      </c>
      <c r="K12" s="4">
        <f>J12</f>
        <v/>
      </c>
      <c r="L12" s="4">
        <f>K12-D12</f>
        <v/>
      </c>
      <c r="M12" t="inlineStr">
        <is>
          <t>Large-claim B-F</t>
        </is>
      </c>
    </row>
    <row r="13">
      <c r="A13" s="6" t="inlineStr">
        <is>
          <t>2023-12</t>
        </is>
      </c>
      <c r="B13" s="14" t="n">
        <v>188296</v>
      </c>
      <c r="C13" t="n">
        <v>33</v>
      </c>
      <c r="D13" s="4">
        <f>'LC Triangle'!AI13</f>
        <v/>
      </c>
      <c r="E13" s="4">
        <f>'LC Triangle'!AH13+(D13-'LC Triangle'!AH13)/Assumptions!$B$9</f>
        <v/>
      </c>
      <c r="F13" s="13">
        <f>INDEX('LC Factors'!$E:$E,C13+2)</f>
        <v/>
      </c>
      <c r="G13" s="4">
        <f>E13/F13</f>
        <v/>
      </c>
      <c r="H13" s="15" t="n">
        <v>46.80838</v>
      </c>
      <c r="I13" s="4">
        <f>H13*B13</f>
        <v/>
      </c>
      <c r="J13" s="4">
        <f>E13+(1-F13)*I13</f>
        <v/>
      </c>
      <c r="K13" s="4">
        <f>J13</f>
        <v/>
      </c>
      <c r="L13" s="4">
        <f>K13-D13</f>
        <v/>
      </c>
      <c r="M13" t="inlineStr">
        <is>
          <t>Large-claim B-F</t>
        </is>
      </c>
    </row>
    <row r="14">
      <c r="A14" s="6" t="inlineStr">
        <is>
          <t>2024-01</t>
        </is>
      </c>
      <c r="B14" s="14" t="n">
        <v>195186</v>
      </c>
      <c r="C14" t="n">
        <v>32</v>
      </c>
      <c r="D14" s="4">
        <f>'LC Triangle'!AH14</f>
        <v/>
      </c>
      <c r="E14" s="4">
        <f>'LC Triangle'!AG14+(D14-'LC Triangle'!AG14)/Assumptions!$B$9</f>
        <v/>
      </c>
      <c r="F14" s="13">
        <f>INDEX('LC Factors'!$E:$E,C14+2)</f>
        <v/>
      </c>
      <c r="G14" s="4">
        <f>E14/F14</f>
        <v/>
      </c>
      <c r="H14" s="15" t="n">
        <v>47.145743</v>
      </c>
      <c r="I14" s="4">
        <f>H14*B14</f>
        <v/>
      </c>
      <c r="J14" s="4">
        <f>E14+(1-F14)*I14</f>
        <v/>
      </c>
      <c r="K14" s="4">
        <f>J14</f>
        <v/>
      </c>
      <c r="L14" s="4">
        <f>K14-D14</f>
        <v/>
      </c>
      <c r="M14" t="inlineStr">
        <is>
          <t>Large-claim B-F</t>
        </is>
      </c>
    </row>
    <row r="15">
      <c r="A15" s="6" t="inlineStr">
        <is>
          <t>2024-02</t>
        </is>
      </c>
      <c r="B15" s="14" t="n">
        <v>195754</v>
      </c>
      <c r="C15" t="n">
        <v>31</v>
      </c>
      <c r="D15" s="4">
        <f>'LC Triangle'!AG15</f>
        <v/>
      </c>
      <c r="E15" s="4">
        <f>'LC Triangle'!AF15+(D15-'LC Triangle'!AF15)/Assumptions!$B$9</f>
        <v/>
      </c>
      <c r="F15" s="13">
        <f>INDEX('LC Factors'!$E:$E,C15+2)</f>
        <v/>
      </c>
      <c r="G15" s="4">
        <f>E15/F15</f>
        <v/>
      </c>
      <c r="H15" s="15" t="n">
        <v>47.485538</v>
      </c>
      <c r="I15" s="4">
        <f>H15*B15</f>
        <v/>
      </c>
      <c r="J15" s="4">
        <f>E15+(1-F15)*I15</f>
        <v/>
      </c>
      <c r="K15" s="4">
        <f>J15</f>
        <v/>
      </c>
      <c r="L15" s="4">
        <f>K15-D15</f>
        <v/>
      </c>
      <c r="M15" t="inlineStr">
        <is>
          <t>Large-claim B-F</t>
        </is>
      </c>
    </row>
    <row r="16">
      <c r="A16" s="6" t="inlineStr">
        <is>
          <t>2024-03</t>
        </is>
      </c>
      <c r="B16" s="14" t="n">
        <v>196371</v>
      </c>
      <c r="C16" t="n">
        <v>30</v>
      </c>
      <c r="D16" s="4">
        <f>'LC Triangle'!AF16</f>
        <v/>
      </c>
      <c r="E16" s="4">
        <f>'LC Triangle'!AE16+(D16-'LC Triangle'!AE16)/Assumptions!$B$9</f>
        <v/>
      </c>
      <c r="F16" s="13">
        <f>INDEX('LC Factors'!$E:$E,C16+2)</f>
        <v/>
      </c>
      <c r="G16" s="4">
        <f>E16/F16</f>
        <v/>
      </c>
      <c r="H16" s="15" t="n">
        <v>47.827781</v>
      </c>
      <c r="I16" s="4">
        <f>H16*B16</f>
        <v/>
      </c>
      <c r="J16" s="4">
        <f>E16+(1-F16)*I16</f>
        <v/>
      </c>
      <c r="K16" s="4">
        <f>J16</f>
        <v/>
      </c>
      <c r="L16" s="4">
        <f>K16-D16</f>
        <v/>
      </c>
      <c r="M16" t="inlineStr">
        <is>
          <t>Large-claim B-F</t>
        </is>
      </c>
    </row>
    <row r="17">
      <c r="A17" s="6" t="inlineStr">
        <is>
          <t>2024-04</t>
        </is>
      </c>
      <c r="B17" s="14" t="n">
        <v>196912</v>
      </c>
      <c r="C17" t="n">
        <v>29</v>
      </c>
      <c r="D17" s="4">
        <f>'LC Triangle'!AE17</f>
        <v/>
      </c>
      <c r="E17" s="4">
        <f>'LC Triangle'!AD17+(D17-'LC Triangle'!AD17)/Assumptions!$B$9</f>
        <v/>
      </c>
      <c r="F17" s="13">
        <f>INDEX('LC Factors'!$E:$E,C17+2)</f>
        <v/>
      </c>
      <c r="G17" s="4">
        <f>E17/F17</f>
        <v/>
      </c>
      <c r="H17" s="15" t="n">
        <v>48.172491</v>
      </c>
      <c r="I17" s="4">
        <f>H17*B17</f>
        <v/>
      </c>
      <c r="J17" s="4">
        <f>E17+(1-F17)*I17</f>
        <v/>
      </c>
      <c r="K17" s="4">
        <f>J17</f>
        <v/>
      </c>
      <c r="L17" s="4">
        <f>K17-D17</f>
        <v/>
      </c>
      <c r="M17" t="inlineStr">
        <is>
          <t>Large-claim B-F</t>
        </is>
      </c>
    </row>
    <row r="18">
      <c r="A18" s="6" t="inlineStr">
        <is>
          <t>2024-05</t>
        </is>
      </c>
      <c r="B18" s="14" t="n">
        <v>197352</v>
      </c>
      <c r="C18" t="n">
        <v>28</v>
      </c>
      <c r="D18" s="4">
        <f>'LC Triangle'!AD18</f>
        <v/>
      </c>
      <c r="E18" s="4">
        <f>'LC Triangle'!AC18+(D18-'LC Triangle'!AC18)/Assumptions!$B$9</f>
        <v/>
      </c>
      <c r="F18" s="13">
        <f>INDEX('LC Factors'!$E:$E,C18+2)</f>
        <v/>
      </c>
      <c r="G18" s="4">
        <f>E18/F18</f>
        <v/>
      </c>
      <c r="H18" s="15" t="n">
        <v>48.519686</v>
      </c>
      <c r="I18" s="4">
        <f>H18*B18</f>
        <v/>
      </c>
      <c r="J18" s="4">
        <f>E18+(1-F18)*I18</f>
        <v/>
      </c>
      <c r="K18" s="4">
        <f>J18</f>
        <v/>
      </c>
      <c r="L18" s="4">
        <f>K18-D18</f>
        <v/>
      </c>
      <c r="M18" t="inlineStr">
        <is>
          <t>Large-claim B-F</t>
        </is>
      </c>
    </row>
    <row r="19">
      <c r="A19" s="6" t="inlineStr">
        <is>
          <t>2024-06</t>
        </is>
      </c>
      <c r="B19" s="14" t="n">
        <v>198493</v>
      </c>
      <c r="C19" t="n">
        <v>27</v>
      </c>
      <c r="D19" s="4">
        <f>'LC Triangle'!AC19</f>
        <v/>
      </c>
      <c r="E19" s="4">
        <f>'LC Triangle'!AB19+(D19-'LC Triangle'!AB19)/Assumptions!$B$9</f>
        <v/>
      </c>
      <c r="F19" s="13">
        <f>INDEX('LC Factors'!$E:$E,C19+2)</f>
        <v/>
      </c>
      <c r="G19" s="4">
        <f>E19/F19</f>
        <v/>
      </c>
      <c r="H19" s="15" t="n">
        <v>48.869383</v>
      </c>
      <c r="I19" s="4">
        <f>H19*B19</f>
        <v/>
      </c>
      <c r="J19" s="4">
        <f>E19+(1-F19)*I19</f>
        <v/>
      </c>
      <c r="K19" s="4">
        <f>J19</f>
        <v/>
      </c>
      <c r="L19" s="4">
        <f>K19-D19</f>
        <v/>
      </c>
      <c r="M19" t="inlineStr">
        <is>
          <t>Large-claim B-F</t>
        </is>
      </c>
    </row>
    <row r="20">
      <c r="A20" s="6" t="inlineStr">
        <is>
          <t>2024-07</t>
        </is>
      </c>
      <c r="B20" s="14" t="n">
        <v>198829</v>
      </c>
      <c r="C20" t="n">
        <v>26</v>
      </c>
      <c r="D20" s="4">
        <f>'LC Triangle'!AB20</f>
        <v/>
      </c>
      <c r="E20" s="4">
        <f>'LC Triangle'!AA20+(D20-'LC Triangle'!AA20)/Assumptions!$B$9</f>
        <v/>
      </c>
      <c r="F20" s="13">
        <f>INDEX('LC Factors'!$E:$E,C20+2)</f>
        <v/>
      </c>
      <c r="G20" s="4">
        <f>E20/F20</f>
        <v/>
      </c>
      <c r="H20" s="15" t="n">
        <v>49.221601</v>
      </c>
      <c r="I20" s="4">
        <f>H20*B20</f>
        <v/>
      </c>
      <c r="J20" s="4">
        <f>E20+(1-F20)*I20</f>
        <v/>
      </c>
      <c r="K20" s="4">
        <f>J20</f>
        <v/>
      </c>
      <c r="L20" s="4">
        <f>K20-D20</f>
        <v/>
      </c>
      <c r="M20" t="inlineStr">
        <is>
          <t>Large-claim B-F</t>
        </is>
      </c>
    </row>
    <row r="21">
      <c r="A21" s="6" t="inlineStr">
        <is>
          <t>2024-08</t>
        </is>
      </c>
      <c r="B21" s="14" t="n">
        <v>199099</v>
      </c>
      <c r="C21" t="n">
        <v>25</v>
      </c>
      <c r="D21" s="4">
        <f>'LC Triangle'!AA21</f>
        <v/>
      </c>
      <c r="E21" s="4">
        <f>'LC Triangle'!Z21+(D21-'LC Triangle'!Z21)/Assumptions!$B$9</f>
        <v/>
      </c>
      <c r="F21" s="13">
        <f>INDEX('LC Factors'!$E:$E,C21+2)</f>
        <v/>
      </c>
      <c r="G21" s="4">
        <f>E21/F21</f>
        <v/>
      </c>
      <c r="H21" s="15" t="n">
        <v>49.576357</v>
      </c>
      <c r="I21" s="4">
        <f>H21*B21</f>
        <v/>
      </c>
      <c r="J21" s="4">
        <f>E21+(1-F21)*I21</f>
        <v/>
      </c>
      <c r="K21" s="4">
        <f>J21</f>
        <v/>
      </c>
      <c r="L21" s="4">
        <f>K21-D21</f>
        <v/>
      </c>
      <c r="M21" t="inlineStr">
        <is>
          <t>Large-claim B-F</t>
        </is>
      </c>
    </row>
    <row r="22">
      <c r="A22" s="6" t="inlineStr">
        <is>
          <t>2024-09</t>
        </is>
      </c>
      <c r="B22" s="14" t="n">
        <v>199429</v>
      </c>
      <c r="C22" t="n">
        <v>24</v>
      </c>
      <c r="D22" s="4">
        <f>'LC Triangle'!Z22</f>
        <v/>
      </c>
      <c r="E22" s="4">
        <f>'LC Triangle'!Y22+(D22-'LC Triangle'!Y22)/Assumptions!$B$9</f>
        <v/>
      </c>
      <c r="F22" s="13">
        <f>INDEX('LC Factors'!$E:$E,C22+2)</f>
        <v/>
      </c>
      <c r="G22" s="4">
        <f>E22/F22</f>
        <v/>
      </c>
      <c r="H22" s="15" t="n">
        <v>49.933669</v>
      </c>
      <c r="I22" s="4">
        <f>H22*B22</f>
        <v/>
      </c>
      <c r="J22" s="4">
        <f>E22+(1-F22)*I22</f>
        <v/>
      </c>
      <c r="K22" s="4">
        <f>J22</f>
        <v/>
      </c>
      <c r="L22" s="4">
        <f>K22-D22</f>
        <v/>
      </c>
      <c r="M22" t="inlineStr">
        <is>
          <t>Large-claim B-F</t>
        </is>
      </c>
    </row>
    <row r="23">
      <c r="A23" s="6" t="inlineStr">
        <is>
          <t>2024-10</t>
        </is>
      </c>
      <c r="B23" s="14" t="n">
        <v>199749</v>
      </c>
      <c r="C23" t="n">
        <v>23</v>
      </c>
      <c r="D23" s="4">
        <f>'LC Triangle'!Y23</f>
        <v/>
      </c>
      <c r="E23" s="4">
        <f>'LC Triangle'!X23+(D23-'LC Triangle'!X23)/Assumptions!$B$9</f>
        <v/>
      </c>
      <c r="F23" s="13">
        <f>INDEX('LC Factors'!$E:$E,C23+2)</f>
        <v/>
      </c>
      <c r="G23" s="4">
        <f>E23/F23</f>
        <v/>
      </c>
      <c r="H23" s="15" t="n">
        <v>50.293558</v>
      </c>
      <c r="I23" s="4">
        <f>H23*B23</f>
        <v/>
      </c>
      <c r="J23" s="4">
        <f>E23+(1-F23)*I23</f>
        <v/>
      </c>
      <c r="K23" s="4">
        <f>J23</f>
        <v/>
      </c>
      <c r="L23" s="4">
        <f>K23-D23</f>
        <v/>
      </c>
      <c r="M23" t="inlineStr">
        <is>
          <t>Large-claim B-F</t>
        </is>
      </c>
    </row>
    <row r="24">
      <c r="A24" s="6" t="inlineStr">
        <is>
          <t>2024-11</t>
        </is>
      </c>
      <c r="B24" s="14" t="n">
        <v>200252</v>
      </c>
      <c r="C24" t="n">
        <v>22</v>
      </c>
      <c r="D24" s="4">
        <f>'LC Triangle'!X24</f>
        <v/>
      </c>
      <c r="E24" s="4">
        <f>'LC Triangle'!W24+(D24-'LC Triangle'!W24)/Assumptions!$B$9</f>
        <v/>
      </c>
      <c r="F24" s="13">
        <f>INDEX('LC Factors'!$E:$E,C24+2)</f>
        <v/>
      </c>
      <c r="G24" s="4">
        <f>E24/F24</f>
        <v/>
      </c>
      <c r="H24" s="15" t="n">
        <v>50.656039</v>
      </c>
      <c r="I24" s="4">
        <f>H24*B24</f>
        <v/>
      </c>
      <c r="J24" s="4">
        <f>E24+(1-F24)*I24</f>
        <v/>
      </c>
      <c r="K24" s="4">
        <f>J24</f>
        <v/>
      </c>
      <c r="L24" s="4">
        <f>K24-D24</f>
        <v/>
      </c>
      <c r="M24" t="inlineStr">
        <is>
          <t>Large-claim B-F</t>
        </is>
      </c>
    </row>
    <row r="25">
      <c r="A25" s="6" t="inlineStr">
        <is>
          <t>2024-12</t>
        </is>
      </c>
      <c r="B25" s="14" t="n">
        <v>200297</v>
      </c>
      <c r="C25" t="n">
        <v>21</v>
      </c>
      <c r="D25" s="4">
        <f>'LC Triangle'!W25</f>
        <v/>
      </c>
      <c r="E25" s="4">
        <f>'LC Triangle'!V25+(D25-'LC Triangle'!V25)/Assumptions!$B$9</f>
        <v/>
      </c>
      <c r="F25" s="13">
        <f>INDEX('LC Factors'!$E:$E,C25+2)</f>
        <v/>
      </c>
      <c r="G25" s="4">
        <f>E25/F25</f>
        <v/>
      </c>
      <c r="H25" s="15" t="n">
        <v>51.021134</v>
      </c>
      <c r="I25" s="4">
        <f>H25*B25</f>
        <v/>
      </c>
      <c r="J25" s="4">
        <f>E25+(1-F25)*I25</f>
        <v/>
      </c>
      <c r="K25" s="4">
        <f>J25</f>
        <v/>
      </c>
      <c r="L25" s="4">
        <f>K25-D25</f>
        <v/>
      </c>
      <c r="M25" t="inlineStr">
        <is>
          <t>Large-claim B-F</t>
        </is>
      </c>
    </row>
    <row r="26">
      <c r="A26" s="6" t="inlineStr">
        <is>
          <t>2025-01</t>
        </is>
      </c>
      <c r="B26" s="14" t="n">
        <v>206379</v>
      </c>
      <c r="C26" t="n">
        <v>20</v>
      </c>
      <c r="D26" s="4">
        <f>'LC Triangle'!V26</f>
        <v/>
      </c>
      <c r="E26" s="4">
        <f>'LC Triangle'!U26+(D26-'LC Triangle'!U26)/Assumptions!$B$9</f>
        <v/>
      </c>
      <c r="F26" s="13">
        <f>INDEX('LC Factors'!$E:$E,C26+2)</f>
        <v/>
      </c>
      <c r="G26" s="4">
        <f>E26/F26</f>
        <v/>
      </c>
      <c r="H26" s="15" t="n">
        <v>51.38886</v>
      </c>
      <c r="I26" s="4">
        <f>H26*B26</f>
        <v/>
      </c>
      <c r="J26" s="4">
        <f>E26+(1-F26)*I26</f>
        <v/>
      </c>
      <c r="K26" s="4">
        <f>J26</f>
        <v/>
      </c>
      <c r="L26" s="4">
        <f>K26-D26</f>
        <v/>
      </c>
      <c r="M26" t="inlineStr">
        <is>
          <t>Large-claim B-F</t>
        </is>
      </c>
    </row>
    <row r="27">
      <c r="A27" s="6" t="inlineStr">
        <is>
          <t>2025-02</t>
        </is>
      </c>
      <c r="B27" s="14" t="n">
        <v>206414</v>
      </c>
      <c r="C27" t="n">
        <v>19</v>
      </c>
      <c r="D27" s="4">
        <f>'LC Triangle'!U27</f>
        <v/>
      </c>
      <c r="E27" s="4">
        <f>'LC Triangle'!T27+(D27-'LC Triangle'!T27)/Assumptions!$B$9</f>
        <v/>
      </c>
      <c r="F27" s="13">
        <f>INDEX('LC Factors'!$E:$E,C27+2)</f>
        <v/>
      </c>
      <c r="G27" s="4">
        <f>E27/F27</f>
        <v/>
      </c>
      <c r="H27" s="15" t="n">
        <v>51.759236</v>
      </c>
      <c r="I27" s="4">
        <f>H27*B27</f>
        <v/>
      </c>
      <c r="J27" s="4">
        <f>E27+(1-F27)*I27</f>
        <v/>
      </c>
      <c r="K27" s="4">
        <f>J27</f>
        <v/>
      </c>
      <c r="L27" s="4">
        <f>K27-D27</f>
        <v/>
      </c>
      <c r="M27" t="inlineStr">
        <is>
          <t>Large-claim B-F</t>
        </is>
      </c>
    </row>
    <row r="28">
      <c r="A28" s="6" t="inlineStr">
        <is>
          <t>2025-03</t>
        </is>
      </c>
      <c r="B28" s="14" t="n">
        <v>207034</v>
      </c>
      <c r="C28" t="n">
        <v>18</v>
      </c>
      <c r="D28" s="4">
        <f>'LC Triangle'!T28</f>
        <v/>
      </c>
      <c r="E28" s="4">
        <f>'LC Triangle'!S28+(D28-'LC Triangle'!S28)/Assumptions!$B$9</f>
        <v/>
      </c>
      <c r="F28" s="13">
        <f>INDEX('LC Factors'!$E:$E,C28+2)</f>
        <v/>
      </c>
      <c r="G28" s="4">
        <f>E28/F28</f>
        <v/>
      </c>
      <c r="H28" s="15" t="n">
        <v>52.132281</v>
      </c>
      <c r="I28" s="4">
        <f>H28*B28</f>
        <v/>
      </c>
      <c r="J28" s="4">
        <f>E28+(1-F28)*I28</f>
        <v/>
      </c>
      <c r="K28" s="4">
        <f>J28</f>
        <v/>
      </c>
      <c r="L28" s="4">
        <f>K28-D28</f>
        <v/>
      </c>
      <c r="M28" t="inlineStr">
        <is>
          <t>Large-claim B-F</t>
        </is>
      </c>
    </row>
    <row r="29">
      <c r="A29" s="6" t="inlineStr">
        <is>
          <t>2025-04</t>
        </is>
      </c>
      <c r="B29" s="14" t="n">
        <v>207074</v>
      </c>
      <c r="C29" t="n">
        <v>17</v>
      </c>
      <c r="D29" s="4">
        <f>'LC Triangle'!S29</f>
        <v/>
      </c>
      <c r="E29" s="4">
        <f>'LC Triangle'!R29+(D29-'LC Triangle'!R29)/Assumptions!$B$9</f>
        <v/>
      </c>
      <c r="F29" s="13">
        <f>INDEX('LC Factors'!$E:$E,C29+2)</f>
        <v/>
      </c>
      <c r="G29" s="4">
        <f>E29/F29</f>
        <v/>
      </c>
      <c r="H29" s="15" t="n">
        <v>52.508016</v>
      </c>
      <c r="I29" s="4">
        <f>H29*B29</f>
        <v/>
      </c>
      <c r="J29" s="4">
        <f>E29+(1-F29)*I29</f>
        <v/>
      </c>
      <c r="K29" s="4">
        <f>J29</f>
        <v/>
      </c>
      <c r="L29" s="4">
        <f>K29-D29</f>
        <v/>
      </c>
      <c r="M29" t="inlineStr">
        <is>
          <t>Large-claim B-F</t>
        </is>
      </c>
    </row>
    <row r="30">
      <c r="A30" s="6" t="inlineStr">
        <is>
          <t>2025-05</t>
        </is>
      </c>
      <c r="B30" s="14" t="n">
        <v>207656</v>
      </c>
      <c r="C30" t="n">
        <v>16</v>
      </c>
      <c r="D30" s="4">
        <f>'LC Triangle'!R30</f>
        <v/>
      </c>
      <c r="E30" s="4">
        <f>'LC Triangle'!Q30+(D30-'LC Triangle'!Q30)/Assumptions!$B$9</f>
        <v/>
      </c>
      <c r="F30" s="13">
        <f>INDEX('LC Factors'!$E:$E,C30+2)</f>
        <v/>
      </c>
      <c r="G30" s="4">
        <f>E30/F30</f>
        <v/>
      </c>
      <c r="H30" s="15" t="n">
        <v>52.886458</v>
      </c>
      <c r="I30" s="4">
        <f>H30*B30</f>
        <v/>
      </c>
      <c r="J30" s="4">
        <f>E30+(1-F30)*I30</f>
        <v/>
      </c>
      <c r="K30" s="4">
        <f>J30</f>
        <v/>
      </c>
      <c r="L30" s="4">
        <f>K30-D30</f>
        <v/>
      </c>
      <c r="M30" t="inlineStr">
        <is>
          <t>Large-claim B-F</t>
        </is>
      </c>
    </row>
    <row r="31">
      <c r="A31" s="6" t="inlineStr">
        <is>
          <t>2025-06</t>
        </is>
      </c>
      <c r="B31" s="14" t="n">
        <v>208551</v>
      </c>
      <c r="C31" t="n">
        <v>15</v>
      </c>
      <c r="D31" s="4">
        <f>'LC Triangle'!Q31</f>
        <v/>
      </c>
      <c r="E31" s="4">
        <f>'LC Triangle'!P31+(D31-'LC Triangle'!P31)/Assumptions!$B$9</f>
        <v/>
      </c>
      <c r="F31" s="13">
        <f>INDEX('LC Factors'!$E:$E,C31+2)</f>
        <v/>
      </c>
      <c r="G31" s="4">
        <f>E31/F31</f>
        <v/>
      </c>
      <c r="H31" s="15" t="n">
        <v>53.267628</v>
      </c>
      <c r="I31" s="4">
        <f>H31*B31</f>
        <v/>
      </c>
      <c r="J31" s="4">
        <f>E31+(1-F31)*I31</f>
        <v/>
      </c>
      <c r="K31" s="4">
        <f>J31</f>
        <v/>
      </c>
      <c r="L31" s="4">
        <f>K31-D31</f>
        <v/>
      </c>
      <c r="M31" t="inlineStr">
        <is>
          <t>Large-claim B-F</t>
        </is>
      </c>
    </row>
    <row r="32">
      <c r="A32" s="6" t="inlineStr">
        <is>
          <t>2025-07</t>
        </is>
      </c>
      <c r="B32" s="14" t="n">
        <v>208290</v>
      </c>
      <c r="C32" t="n">
        <v>14</v>
      </c>
      <c r="D32" s="4">
        <f>'LC Triangle'!P32</f>
        <v/>
      </c>
      <c r="E32" s="4">
        <f>'LC Triangle'!O32+(D32-'LC Triangle'!O32)/Assumptions!$B$9</f>
        <v/>
      </c>
      <c r="F32" s="13">
        <f>INDEX('LC Factors'!$E:$E,C32+2)</f>
        <v/>
      </c>
      <c r="G32" s="4">
        <f>E32/F32</f>
        <v/>
      </c>
      <c r="H32" s="15" t="n">
        <v>53.651545</v>
      </c>
      <c r="I32" s="4">
        <f>H32*B32</f>
        <v/>
      </c>
      <c r="J32" s="4">
        <f>E32+(1-F32)*I32</f>
        <v/>
      </c>
      <c r="K32" s="4">
        <f>J32</f>
        <v/>
      </c>
      <c r="L32" s="4">
        <f>K32-D32</f>
        <v/>
      </c>
      <c r="M32" t="inlineStr">
        <is>
          <t>Large-claim B-F</t>
        </is>
      </c>
    </row>
    <row r="33">
      <c r="A33" s="6" t="inlineStr">
        <is>
          <t>2025-08</t>
        </is>
      </c>
      <c r="B33" s="14" t="n">
        <v>209114</v>
      </c>
      <c r="C33" t="n">
        <v>13</v>
      </c>
      <c r="D33" s="4">
        <f>'LC Triangle'!O33</f>
        <v/>
      </c>
      <c r="E33" s="4">
        <f>'LC Triangle'!N33+(D33-'LC Triangle'!N33)/Assumptions!$B$9</f>
        <v/>
      </c>
      <c r="F33" s="13">
        <f>INDEX('LC Factors'!$E:$E,C33+2)</f>
        <v/>
      </c>
      <c r="G33" s="4">
        <f>E33/F33</f>
        <v/>
      </c>
      <c r="H33" s="15" t="n">
        <v>54.038229</v>
      </c>
      <c r="I33" s="4">
        <f>H33*B33</f>
        <v/>
      </c>
      <c r="J33" s="4">
        <f>E33+(1-F33)*I33</f>
        <v/>
      </c>
      <c r="K33" s="4">
        <f>J33</f>
        <v/>
      </c>
      <c r="L33" s="4">
        <f>K33-D33</f>
        <v/>
      </c>
      <c r="M33" t="inlineStr">
        <is>
          <t>Large-claim B-F</t>
        </is>
      </c>
    </row>
    <row r="34">
      <c r="A34" s="6" t="inlineStr">
        <is>
          <t>2025-09</t>
        </is>
      </c>
      <c r="B34" s="14" t="n">
        <v>209604</v>
      </c>
      <c r="C34" t="n">
        <v>12</v>
      </c>
      <c r="D34" s="4">
        <f>'LC Triangle'!N34</f>
        <v/>
      </c>
      <c r="E34" s="4">
        <f>'LC Triangle'!M34+(D34-'LC Triangle'!M34)/Assumptions!$B$9</f>
        <v/>
      </c>
      <c r="F34" s="13">
        <f>INDEX('LC Factors'!$E:$E,C34+2)</f>
        <v/>
      </c>
      <c r="G34" s="4">
        <f>E34/F34</f>
        <v/>
      </c>
      <c r="H34" s="15" t="n">
        <v>54.4277</v>
      </c>
      <c r="I34" s="4">
        <f>H34*B34</f>
        <v/>
      </c>
      <c r="J34" s="4">
        <f>E34+(1-F34)*I34</f>
        <v/>
      </c>
      <c r="K34" s="4">
        <f>J34</f>
        <v/>
      </c>
      <c r="L34" s="4">
        <f>K34-D34</f>
        <v/>
      </c>
      <c r="M34" t="inlineStr">
        <is>
          <t>Large-claim B-F</t>
        </is>
      </c>
    </row>
    <row r="35">
      <c r="A35" s="6" t="inlineStr">
        <is>
          <t>2025-10</t>
        </is>
      </c>
      <c r="B35" s="14" t="n">
        <v>210074</v>
      </c>
      <c r="C35" t="n">
        <v>11</v>
      </c>
      <c r="D35" s="4">
        <f>'LC Triangle'!M35</f>
        <v/>
      </c>
      <c r="E35" s="4">
        <f>'LC Triangle'!L35+(D35-'LC Triangle'!L35)/Assumptions!$B$9</f>
        <v/>
      </c>
      <c r="F35" s="13">
        <f>INDEX('LC Factors'!$E:$E,C35+2)</f>
        <v/>
      </c>
      <c r="G35" s="4">
        <f>E35/F35</f>
        <v/>
      </c>
      <c r="H35" s="15" t="n">
        <v>54.819978</v>
      </c>
      <c r="I35" s="4">
        <f>H35*B35</f>
        <v/>
      </c>
      <c r="J35" s="4">
        <f>E35+(1-F35)*I35</f>
        <v/>
      </c>
      <c r="K35" s="4">
        <f>J35</f>
        <v/>
      </c>
      <c r="L35" s="4">
        <f>K35-D35</f>
        <v/>
      </c>
      <c r="M35" t="inlineStr">
        <is>
          <t>Large-claim B-F</t>
        </is>
      </c>
    </row>
    <row r="36">
      <c r="A36" s="6" t="inlineStr">
        <is>
          <t>2025-11</t>
        </is>
      </c>
      <c r="B36" s="14" t="n">
        <v>210375</v>
      </c>
      <c r="C36" t="n">
        <v>10</v>
      </c>
      <c r="D36" s="4">
        <f>'LC Triangle'!L36</f>
        <v/>
      </c>
      <c r="E36" s="4">
        <f>'LC Triangle'!K36+(D36-'LC Triangle'!K36)/Assumptions!$B$9</f>
        <v/>
      </c>
      <c r="F36" s="13">
        <f>INDEX('LC Factors'!$E:$E,C36+2)</f>
        <v/>
      </c>
      <c r="G36" s="4">
        <f>E36/F36</f>
        <v/>
      </c>
      <c r="H36" s="15" t="n">
        <v>55.215083</v>
      </c>
      <c r="I36" s="4">
        <f>H36*B36</f>
        <v/>
      </c>
      <c r="J36" s="4">
        <f>E36+(1-F36)*I36</f>
        <v/>
      </c>
      <c r="K36" s="4">
        <f>J36</f>
        <v/>
      </c>
      <c r="L36" s="4">
        <f>K36-D36</f>
        <v/>
      </c>
      <c r="M36" t="inlineStr">
        <is>
          <t>Large-claim B-F</t>
        </is>
      </c>
    </row>
    <row r="37">
      <c r="A37" s="6" t="inlineStr">
        <is>
          <t>2025-12</t>
        </is>
      </c>
      <c r="B37" s="14" t="n">
        <v>211296</v>
      </c>
      <c r="C37" t="n">
        <v>9</v>
      </c>
      <c r="D37" s="4">
        <f>'LC Triangle'!K37</f>
        <v/>
      </c>
      <c r="E37" s="4">
        <f>'LC Triangle'!J37+(D37-'LC Triangle'!J37)/Assumptions!$B$9</f>
        <v/>
      </c>
      <c r="F37" s="13">
        <f>INDEX('LC Factors'!$E:$E,C37+2)</f>
        <v/>
      </c>
      <c r="G37" s="4">
        <f>E37/F37</f>
        <v/>
      </c>
      <c r="H37" s="15" t="n">
        <v>55.613036</v>
      </c>
      <c r="I37" s="4">
        <f>H37*B37</f>
        <v/>
      </c>
      <c r="J37" s="4">
        <f>E37+(1-F37)*I37</f>
        <v/>
      </c>
      <c r="K37" s="4">
        <f>J37</f>
        <v/>
      </c>
      <c r="L37" s="4">
        <f>K37-D37</f>
        <v/>
      </c>
      <c r="M37" t="inlineStr">
        <is>
          <t>Large-claim B-F</t>
        </is>
      </c>
    </row>
    <row r="38">
      <c r="A38" s="6" t="inlineStr">
        <is>
          <t>2026-01</t>
        </is>
      </c>
      <c r="B38" s="14" t="n">
        <v>218809</v>
      </c>
      <c r="C38" t="n">
        <v>8</v>
      </c>
      <c r="D38" s="4">
        <f>'LC Triangle'!J38</f>
        <v/>
      </c>
      <c r="E38" s="4">
        <f>'LC Triangle'!I38+(D38-'LC Triangle'!I38)/Assumptions!$B$9</f>
        <v/>
      </c>
      <c r="F38" s="13">
        <f>INDEX('LC Factors'!$E:$E,C38+2)</f>
        <v/>
      </c>
      <c r="G38" s="4">
        <f>E38/F38</f>
        <v/>
      </c>
      <c r="H38" s="15" t="n">
        <v>56.013857</v>
      </c>
      <c r="I38" s="4">
        <f>H38*B38</f>
        <v/>
      </c>
      <c r="J38" s="4">
        <f>E38+(1-F38)*I38</f>
        <v/>
      </c>
      <c r="K38" s="4">
        <f>J38</f>
        <v/>
      </c>
      <c r="L38" s="4">
        <f>K38-D38</f>
        <v/>
      </c>
      <c r="M38" t="inlineStr">
        <is>
          <t>Large-claim B-F</t>
        </is>
      </c>
    </row>
    <row r="39">
      <c r="A39" s="6" t="inlineStr">
        <is>
          <t>2026-02</t>
        </is>
      </c>
      <c r="B39" s="14" t="n">
        <v>219372</v>
      </c>
      <c r="C39" t="n">
        <v>7</v>
      </c>
      <c r="D39" s="4">
        <f>'LC Triangle'!I39</f>
        <v/>
      </c>
      <c r="E39" s="4">
        <f>'LC Triangle'!H39+(D39-'LC Triangle'!H39)/Assumptions!$B$9</f>
        <v/>
      </c>
      <c r="F39" s="13">
        <f>INDEX('LC Factors'!$E:$E,C39+2)</f>
        <v/>
      </c>
      <c r="G39" s="4">
        <f>E39/F39</f>
        <v/>
      </c>
      <c r="H39" s="15" t="n">
        <v>56.417567</v>
      </c>
      <c r="I39" s="4">
        <f>H39*B39</f>
        <v/>
      </c>
      <c r="J39" s="4">
        <f>E39+(1-F39)*I39</f>
        <v/>
      </c>
      <c r="K39" s="4">
        <f>J39</f>
        <v/>
      </c>
      <c r="L39" s="4">
        <f>K39-D39</f>
        <v/>
      </c>
      <c r="M39" t="inlineStr">
        <is>
          <t>Large-claim B-F</t>
        </is>
      </c>
    </row>
    <row r="40">
      <c r="A40" s="6" t="inlineStr">
        <is>
          <t>2026-03</t>
        </is>
      </c>
      <c r="B40" s="14" t="n">
        <v>219455</v>
      </c>
      <c r="C40" t="n">
        <v>6</v>
      </c>
      <c r="D40" s="4">
        <f>'LC Triangle'!H40</f>
        <v/>
      </c>
      <c r="E40" s="4">
        <f>'LC Triangle'!G40+(D40-'LC Triangle'!G40)/Assumptions!$B$9</f>
        <v/>
      </c>
      <c r="F40" s="13">
        <f>INDEX('LC Factors'!$E:$E,C40+2)</f>
        <v/>
      </c>
      <c r="G40" s="4">
        <f>E40/F40</f>
        <v/>
      </c>
      <c r="H40" s="15" t="n">
        <v>56.824187</v>
      </c>
      <c r="I40" s="4">
        <f>H40*B40</f>
        <v/>
      </c>
      <c r="J40" s="4">
        <f>E40+(1-F40)*I40</f>
        <v/>
      </c>
      <c r="K40" s="4">
        <f>J40</f>
        <v/>
      </c>
      <c r="L40" s="4">
        <f>K40-D40</f>
        <v/>
      </c>
      <c r="M40" t="inlineStr">
        <is>
          <t>Large-claim B-F</t>
        </is>
      </c>
    </row>
    <row r="41">
      <c r="A41" s="6" t="inlineStr">
        <is>
          <t>2026-04</t>
        </is>
      </c>
      <c r="B41" s="14" t="n">
        <v>219206</v>
      </c>
      <c r="C41" t="n">
        <v>5</v>
      </c>
      <c r="D41" s="4">
        <f>'LC Triangle'!G41</f>
        <v/>
      </c>
      <c r="E41" s="4">
        <f>'LC Triangle'!F41+(D41-'LC Triangle'!F41)/Assumptions!$B$9</f>
        <v/>
      </c>
      <c r="F41" s="13">
        <f>INDEX('LC Factors'!$E:$E,C41+2)</f>
        <v/>
      </c>
      <c r="G41" s="4">
        <f>E41/F41</f>
        <v/>
      </c>
      <c r="H41" s="15" t="n">
        <v>57.233737</v>
      </c>
      <c r="I41" s="4">
        <f>H41*B41</f>
        <v/>
      </c>
      <c r="J41" s="4">
        <f>E41+(1-F41)*I41</f>
        <v/>
      </c>
      <c r="K41" s="4">
        <f>J41</f>
        <v/>
      </c>
      <c r="L41" s="4">
        <f>K41-D41</f>
        <v/>
      </c>
      <c r="M41" t="inlineStr">
        <is>
          <t>Large-claim B-F</t>
        </is>
      </c>
    </row>
    <row r="42">
      <c r="A42" s="6" t="inlineStr">
        <is>
          <t>2026-05</t>
        </is>
      </c>
      <c r="B42" s="14" t="n">
        <v>219383</v>
      </c>
      <c r="C42" t="n">
        <v>4</v>
      </c>
      <c r="D42" s="4">
        <f>'LC Triangle'!F42</f>
        <v/>
      </c>
      <c r="E42" s="4">
        <f>'LC Triangle'!E42+(D42-'LC Triangle'!E42)/Assumptions!$B$9</f>
        <v/>
      </c>
      <c r="F42" s="13">
        <f>INDEX('LC Factors'!$E:$E,C42+2)</f>
        <v/>
      </c>
      <c r="G42" s="4">
        <f>E42/F42</f>
        <v/>
      </c>
      <c r="H42" s="15" t="n">
        <v>57.646239</v>
      </c>
      <c r="I42" s="4">
        <f>H42*B42</f>
        <v/>
      </c>
      <c r="J42" s="4">
        <f>E42+(1-F42)*I42</f>
        <v/>
      </c>
      <c r="K42" s="4">
        <f>J42</f>
        <v/>
      </c>
      <c r="L42" s="4">
        <f>K42-D42</f>
        <v/>
      </c>
      <c r="M42" t="inlineStr">
        <is>
          <t>Large-claim B-F</t>
        </is>
      </c>
    </row>
    <row r="43">
      <c r="A43" s="6" t="inlineStr">
        <is>
          <t>2026-06</t>
        </is>
      </c>
      <c r="B43" s="14" t="n">
        <v>219891</v>
      </c>
      <c r="C43" t="n">
        <v>3</v>
      </c>
      <c r="D43" s="4">
        <f>'LC Triangle'!E43</f>
        <v/>
      </c>
      <c r="E43" s="4">
        <f>'LC Triangle'!D43+(D43-'LC Triangle'!D43)/Assumptions!$B$9</f>
        <v/>
      </c>
      <c r="F43" s="13">
        <f>INDEX('LC Factors'!$E:$E,C43+2)</f>
        <v/>
      </c>
      <c r="G43" s="4">
        <f>E43/F43</f>
        <v/>
      </c>
      <c r="H43" s="15" t="n">
        <v>58.061714</v>
      </c>
      <c r="I43" s="4">
        <f>H43*B43</f>
        <v/>
      </c>
      <c r="J43" s="4">
        <f>E43+(1-F43)*I43</f>
        <v/>
      </c>
      <c r="K43" s="4">
        <f>J43</f>
        <v/>
      </c>
      <c r="L43" s="4">
        <f>K43-D43</f>
        <v/>
      </c>
      <c r="M43" t="inlineStr">
        <is>
          <t>Large-claim B-F</t>
        </is>
      </c>
    </row>
    <row r="44">
      <c r="A44" s="6" t="inlineStr">
        <is>
          <t>2026-07</t>
        </is>
      </c>
      <c r="B44" s="14" t="n">
        <v>220771</v>
      </c>
      <c r="C44" t="n">
        <v>2</v>
      </c>
      <c r="D44" s="4">
        <f>'LC Triangle'!D44</f>
        <v/>
      </c>
      <c r="E44" s="4">
        <f>'LC Triangle'!C44+(D44-'LC Triangle'!C44)/Assumptions!$B$9</f>
        <v/>
      </c>
      <c r="F44" s="13">
        <f>INDEX('LC Factors'!$E:$E,C44+2)</f>
        <v/>
      </c>
      <c r="G44" s="4">
        <f>E44/F44</f>
        <v/>
      </c>
      <c r="H44" s="15" t="n">
        <v>58.480184</v>
      </c>
      <c r="I44" s="4">
        <f>H44*B44</f>
        <v/>
      </c>
      <c r="J44" s="4">
        <f>E44+(1-F44)*I44</f>
        <v/>
      </c>
      <c r="K44" s="4">
        <f>J44</f>
        <v/>
      </c>
      <c r="L44" s="4">
        <f>K44-D44</f>
        <v/>
      </c>
      <c r="M44" t="inlineStr">
        <is>
          <t>Large-claim B-F</t>
        </is>
      </c>
    </row>
    <row r="45">
      <c r="A45" s="6" t="inlineStr">
        <is>
          <t>2026-08</t>
        </is>
      </c>
      <c r="B45" s="14" t="n">
        <v>221871</v>
      </c>
      <c r="C45" t="n">
        <v>1</v>
      </c>
      <c r="D45" s="4">
        <f>'LC Triangle'!C45</f>
        <v/>
      </c>
      <c r="E45" s="4">
        <f>'LC Triangle'!B45+(D45-'LC Triangle'!B45)/Assumptions!$B$9</f>
        <v/>
      </c>
      <c r="F45" s="13">
        <f>INDEX('LC Factors'!$E:$E,C45+2)</f>
        <v/>
      </c>
      <c r="G45" s="4">
        <f>E45/F45</f>
        <v/>
      </c>
      <c r="H45" s="15" t="n">
        <v>58.901669</v>
      </c>
      <c r="I45" s="4">
        <f>H45*B45</f>
        <v/>
      </c>
      <c r="J45" s="4">
        <f>E45+(1-F45)*I45</f>
        <v/>
      </c>
      <c r="K45" s="4">
        <f>J45</f>
        <v/>
      </c>
      <c r="L45" s="4">
        <f>K45-D45</f>
        <v/>
      </c>
      <c r="M45" t="inlineStr">
        <is>
          <t>Large-claim B-F</t>
        </is>
      </c>
    </row>
    <row r="46">
      <c r="A46" s="6" t="inlineStr">
        <is>
          <t>2026-09</t>
        </is>
      </c>
      <c r="B46" s="14" t="n">
        <v>222253</v>
      </c>
      <c r="C46" t="n">
        <v>0</v>
      </c>
      <c r="D46" s="4">
        <f>'LC Triangle'!B46</f>
        <v/>
      </c>
      <c r="E46" s="4">
        <f>0+(D46-0)/Assumptions!$B$9</f>
        <v/>
      </c>
      <c r="F46" s="13">
        <f>INDEX('LC Factors'!$E:$E,C46+2)</f>
        <v/>
      </c>
      <c r="G46" s="4">
        <f>E46/F46</f>
        <v/>
      </c>
      <c r="H46" s="15" t="n">
        <v>59.326193</v>
      </c>
      <c r="I46" s="4">
        <f>H46*B46</f>
        <v/>
      </c>
      <c r="J46" s="4">
        <f>E46+(1-F46)*I46</f>
        <v/>
      </c>
      <c r="K46" s="4">
        <f>J46</f>
        <v/>
      </c>
      <c r="L46" s="4">
        <f>K46-D46</f>
        <v/>
      </c>
      <c r="M46" t="inlineStr">
        <is>
          <t>Large-claim B-F</t>
        </is>
      </c>
    </row>
    <row r="47">
      <c r="A47" s="6" t="inlineStr">
        <is>
          <t>Total</t>
        </is>
      </c>
      <c r="B47" s="7">
        <f>SUM(B2:B46)</f>
        <v/>
      </c>
      <c r="D47" s="7">
        <f>SUM(D2:D46)</f>
        <v/>
      </c>
      <c r="G47" s="7">
        <f>SUM(G2:G46)</f>
        <v/>
      </c>
      <c r="I47" s="7">
        <f>SUM(I2:I46)</f>
        <v/>
      </c>
      <c r="K47" s="7">
        <f>SUM(K2:K46)</f>
        <v/>
      </c>
      <c r="L47" s="7">
        <f>SUM(L2:L46)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2026-10-29T19:55:41Z</dcterms:created>
  <dcterms:modified xmlns:dcterms="http://purl.org/dc/terms/" xmlns:xsi="http://www.w3.org/2001/XMLSchema-instance" xsi:type="dcterms:W3CDTF">2026-10-29T19:55:42Z</dcterms:modified>
</cp:coreProperties>
</file>